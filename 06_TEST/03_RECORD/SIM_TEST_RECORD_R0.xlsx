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6_TEST\03_RECORD\"/>
    </mc:Choice>
  </mc:AlternateContent>
  <xr:revisionPtr revIDLastSave="0" documentId="13_ncr:1_{DB9AC68B-1D4D-4E8D-8548-1BE5E64A4A3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완료확인" sheetId="1" r:id="rId1"/>
    <sheet name="실행기록" sheetId="2" r:id="rId2"/>
    <sheet name="기준설정" sheetId="3" r:id="rId3"/>
    <sheet name="증거목록" sheetId="4" r:id="rId4"/>
    <sheet name="문제재시험" sheetId="5" r:id="rId5"/>
    <sheet name="도면마감" sheetId="6" r:id="rId6"/>
  </sheets>
  <definedNames>
    <definedName name="_xlnm.Print_Area" localSheetId="2">기준설정!$A$1:$F$31</definedName>
    <definedName name="_xlnm.Print_Area" localSheetId="5">도면마감!$A$1:$I$27</definedName>
    <definedName name="_xlnm.Print_Area" localSheetId="1">실행기록!$A$1:$L$30</definedName>
    <definedName name="_xlnm.Print_Area" localSheetId="0">완료확인!$A$1:$J$30</definedName>
    <definedName name="_xlnm.Print_Titles" localSheetId="2">기준설정!$5:$5</definedName>
    <definedName name="_xlnm.Print_Titles" localSheetId="5">도면마감!$5:$5</definedName>
    <definedName name="_xlnm.Print_Titles" localSheetId="1">실행기록!$5:$5</definedName>
    <definedName name="_xlnm.Print_Titles" localSheetId="0">완료확인!$5:$5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</calcChain>
</file>

<file path=xl/sharedStrings.xml><?xml version="1.0" encoding="utf-8"?>
<sst xmlns="http://schemas.openxmlformats.org/spreadsheetml/2006/main" count="2692" uniqueCount="1674">
  <si>
    <t>시험 완료 확인</t>
  </si>
  <si>
    <t>노란색 최종실행ID에 실제 기록을 연결합니다. 합격·증거·도면은 별도로 검토합니다.</t>
  </si>
  <si>
    <t>시험ID</t>
  </si>
  <si>
    <t>단계</t>
  </si>
  <si>
    <t>시험명</t>
  </si>
  <si>
    <t>구분</t>
  </si>
  <si>
    <t>최종실행ID</t>
  </si>
  <si>
    <t>판정</t>
  </si>
  <si>
    <t>대표증거ID</t>
  </si>
  <si>
    <t>증거 연결</t>
  </si>
  <si>
    <t>도면 참조</t>
  </si>
  <si>
    <t>검토 메모</t>
  </si>
  <si>
    <t>P01</t>
  </si>
  <si>
    <t>02 기동·준비</t>
  </si>
  <si>
    <t>초기 RUN과 안전 복귀·모델 정리·RESET의 역할 구분</t>
  </si>
  <si>
    <t>필수</t>
  </si>
  <si>
    <t>R103, R104, R106, R114, R116</t>
  </si>
  <si>
    <t>AE01</t>
  </si>
  <si>
    <t>실측 센서→FX→LS 및 ATE 준비 상태</t>
  </si>
  <si>
    <t>R102, R107, R109, R110, R111, R112, R115, R116</t>
  </si>
  <si>
    <t>P02</t>
  </si>
  <si>
    <t>03 정상 5건·이력</t>
  </si>
  <si>
    <t>단발 PASS 한 제품의 검사 수락·자동 분류·배출·계수</t>
  </si>
  <si>
    <t>R105, R107, R108, R114, R115, R116</t>
  </si>
  <si>
    <t>P03</t>
  </si>
  <si>
    <t>단발 FAIL 한 제품의 검사 수락·자동 분류·배출·계수</t>
  </si>
  <si>
    <t>P04</t>
  </si>
  <si>
    <t>단발 RETEST 한 제품의 검사 수락·자동 분류·배출·계수</t>
  </si>
  <si>
    <t>AE02</t>
  </si>
  <si>
    <t>가상 전압 하한·상한 PASS 두 건 추가</t>
  </si>
  <si>
    <t>R105, R107, R108, R113, R114, R115</t>
  </si>
  <si>
    <t>AE05</t>
  </si>
  <si>
    <t>CSV 1수락1행·최근5건 조회·반복조회</t>
  </si>
  <si>
    <t>R107, R108, R115, R116</t>
  </si>
  <si>
    <t>P05</t>
  </si>
  <si>
    <t>04 운전·안전</t>
  </si>
  <si>
    <t>Auto/Manual과 수량 초기화의 허용 조건</t>
  </si>
  <si>
    <t>R106, R115, R116</t>
  </si>
  <si>
    <t>P06</t>
  </si>
  <si>
    <t>연속 운전·배출 수거 인터록·단발 전환·재선택</t>
  </si>
  <si>
    <t>R106, R114, R115, R116</t>
  </si>
  <si>
    <t>P07</t>
  </si>
  <si>
    <t>연속 중 공정 STOP·ACK·수동 복구</t>
  </si>
  <si>
    <t>R104, R105, R106, R113, R114, R116, R115</t>
  </si>
  <si>
    <t>P08</t>
  </si>
  <si>
    <t>비상정지·문·안전 모사 고장과 누른 채 복귀 방지</t>
  </si>
  <si>
    <t>R104, R106, R114, R116</t>
  </si>
  <si>
    <t>P09</t>
  </si>
  <si>
    <t>환경 시작 허가 OFF에서 현사이클 마무리·새 START 차단</t>
  </si>
  <si>
    <t>R106, R111, R112, R115, R116</t>
  </si>
  <si>
    <t>P10</t>
  </si>
  <si>
    <t>05 장치 고장</t>
  </si>
  <si>
    <t>고장 주입 — 검사 위치 미도달 / LS 알람101</t>
  </si>
  <si>
    <t>R105, R106, R113, R114, R116</t>
  </si>
  <si>
    <t>P11</t>
  </si>
  <si>
    <t>고장 주입 — 클램프 닫힘 미도달 / LS 알람102</t>
  </si>
  <si>
    <t>P12</t>
  </si>
  <si>
    <t>고장 주입 — 클램프 열림 실패 / LS 알람105</t>
  </si>
  <si>
    <t>P13</t>
  </si>
  <si>
    <t>고장 주입 — 선택 게이트 미도달 / LS 알람106</t>
  </si>
  <si>
    <t>P14</t>
  </si>
  <si>
    <t>고장 주입 — 배출 위치 미도달 / LS 알람107</t>
  </si>
  <si>
    <t>P15</t>
  </si>
  <si>
    <t>고장 주입 — 게이트 Home 복귀 실패 / LS 알람109</t>
  </si>
  <si>
    <t>P17</t>
  </si>
  <si>
    <t>ATE 응답 없음 → LS 검사 타임아웃103·공정 차단·수동 복구</t>
  </si>
  <si>
    <t>R104, R105, R106, R107, R108, R113, R114, R115, R116</t>
  </si>
  <si>
    <t>P16</t>
  </si>
  <si>
    <t>06 단절·재기동</t>
  </si>
  <si>
    <t>PLC RUN 재시작 후 자동 출발 금지와 세션 경계</t>
  </si>
  <si>
    <t>R104, R106, R108, R116</t>
  </si>
  <si>
    <t>AE08</t>
  </si>
  <si>
    <t>ESP 전원 OFF·캐시 차단·재접속 수동 복구</t>
  </si>
  <si>
    <t>R102, R109, R110, R111, R112, R115</t>
  </si>
  <si>
    <t>AE09</t>
  </si>
  <si>
    <t>GX Simulator 종료·FX 자료 상실·복구</t>
  </si>
  <si>
    <t>R102, R110, R111, R112, R115, R116</t>
  </si>
  <si>
    <t>AE10</t>
  </si>
  <si>
    <t>XG-SIM 종료·LS 자료 상실·재기동 대기</t>
  </si>
  <si>
    <t>R102, R104, R106, R107, R108, R112, R115</t>
  </si>
  <si>
    <t>AE11</t>
  </si>
  <si>
    <t>07 지속 운전·종료</t>
  </si>
  <si>
    <t>전체 동시 연속 운전 30분 목표</t>
  </si>
  <si>
    <t>R102, R106, R107, R108, R110, R112, R115, R116</t>
  </si>
  <si>
    <t>AE12</t>
  </si>
  <si>
    <t>정상 종료·증거 보존·다음 실행 준비</t>
  </si>
  <si>
    <t>R108, R110, R112, R116</t>
  </si>
  <si>
    <t>실제 시험 실행기록</t>
  </si>
  <si>
    <t>실패 행을 남기고 재시험은 새 행에 추가합니다. 실제 관측 칸은 현재 비어 있습니다.</t>
  </si>
  <si>
    <t>실행ID</t>
  </si>
  <si>
    <t>차수</t>
  </si>
  <si>
    <t>기준선ID</t>
  </si>
  <si>
    <t>시작시각 KST</t>
  </si>
  <si>
    <t>종료시각 KST</t>
  </si>
  <si>
    <t>실제 관측 결과</t>
  </si>
  <si>
    <t>전후 누계·CSV행·요청/수락ID</t>
  </si>
  <si>
    <t>문제ID</t>
  </si>
  <si>
    <t>원실행ID</t>
  </si>
  <si>
    <t>시험 구성 기준선</t>
  </si>
  <si>
    <t>기준값은 과거 확인·설계 기준입니다. 노란색에 이번 실제값과 증거를 입력합니다.</t>
  </si>
  <si>
    <t>항목ID</t>
  </si>
  <si>
    <t>이번 실제값·파일/경로</t>
  </si>
  <si>
    <t>증거ID</t>
  </si>
  <si>
    <t>확인할 내용</t>
  </si>
  <si>
    <t>BL01</t>
  </si>
  <si>
    <t>실행 식별</t>
  </si>
  <si>
    <t>직접 정한 실제 실행 ID와 수행자·KST 시각</t>
  </si>
  <si>
    <t>BL02</t>
  </si>
  <si>
    <t>LS 저장본</t>
  </si>
  <si>
    <t>현재 성공한 XG5000 프로젝트 / SIM_IO → MAIN / 각각 END</t>
  </si>
  <si>
    <t>실제 파일명·저장 경로·프로그램 순서 캡처</t>
  </si>
  <si>
    <t>BL03</t>
  </si>
  <si>
    <t>FX 저장본</t>
  </si>
  <si>
    <t>현재 성공한 GXW / FX M0=0</t>
  </si>
  <si>
    <t>실제 GXW 파일명·RUN·M0 캡처</t>
  </si>
  <si>
    <t>BL04</t>
  </si>
  <si>
    <t>CIMON 저장본</t>
  </si>
  <si>
    <t>CIMON 3.91 / 현재 DB·스크립트·페이지 전체</t>
  </si>
  <si>
    <t>실제 프로젝트 경로 / ESP·FXTEL·ENVIRONMENT 등 그룹명을 유지</t>
  </si>
  <si>
    <t>BL05</t>
  </si>
  <si>
    <t>센서 중계</t>
  </si>
  <si>
    <t>현재 Start·Check·Loop 내보내기 및 실제 태그 경로</t>
  </si>
  <si>
    <t>BL06</t>
  </si>
  <si>
    <t>MX OPC</t>
  </si>
  <si>
    <t>구성 파일 저장·실제 Poll Method 캡처</t>
  </si>
  <si>
    <t>BL07</t>
  </si>
  <si>
    <t>CIMON FX 그룹</t>
  </si>
  <si>
    <t>I/O 디바이스 FX-OPC SIM 실제 설정 캡처</t>
  </si>
  <si>
    <t>BL08</t>
  </si>
  <si>
    <t>다른 통신 주기</t>
  </si>
  <si>
    <t>LS·ESP·ATE는 현재 성공 설정</t>
  </si>
  <si>
    <t>각 실제 주기 / IP / 포트 / 드라이버 기록. 일괄 변경하지 않음</t>
  </si>
  <si>
    <t>BL09</t>
  </si>
  <si>
    <t>ATE 저장본</t>
  </si>
  <si>
    <t>실제 VI명 / 버전 / 하위VI / 로그 경로 보관</t>
  </si>
  <si>
    <t>BL10</t>
  </si>
  <si>
    <t>ATE 통신</t>
  </si>
  <si>
    <t>현재 서버·클라이언트 설정 캡처</t>
  </si>
  <si>
    <t>BL11</t>
  </si>
  <si>
    <t>ATE 응답</t>
  </si>
  <si>
    <t>결과·응답ID와 DONE을 구분한 현 블록다이어그램 보관</t>
  </si>
  <si>
    <t>BL12</t>
  </si>
  <si>
    <t>ATE 시험값</t>
  </si>
  <si>
    <t>입력값 및 실제 UI 단위 mV 확인</t>
  </si>
  <si>
    <t>BL13</t>
  </si>
  <si>
    <t>CSV</t>
  </si>
  <si>
    <t>새 파일 / 원본9열 / 수락 시점1행</t>
  </si>
  <si>
    <t>존재하는 부모 폴더·새 파일명. Run 전에 지정</t>
  </si>
  <si>
    <t>BL14</t>
  </si>
  <si>
    <t>ESP 소스</t>
  </si>
  <si>
    <t>ESP-IDF6.0.1 / ESP32-S3-DevKitC-1</t>
  </si>
  <si>
    <t>소스·sdkconfig·manifest·lock·빌드설정 보관. 암호는 제출본에서 제외</t>
  </si>
  <si>
    <t>BL15</t>
  </si>
  <si>
    <t>센서 배선</t>
  </si>
  <si>
    <t>현재 배선 사진. 공식5V 공급 표기와 적합성 확인은 한계로 명시</t>
  </si>
  <si>
    <t>BL16</t>
  </si>
  <si>
    <t>ESP 통신</t>
  </si>
  <si>
    <t>현재 IP / 원시 offset0..7 / 확장8..23 / 워드순서 실제값</t>
  </si>
  <si>
    <t>BL17</t>
  </si>
  <si>
    <t>센서 주기</t>
  </si>
  <si>
    <t>실제 Monitor BOOT·SEQ·valid·status·AGE 캡처</t>
  </si>
  <si>
    <t>BL18</t>
  </si>
  <si>
    <t>FX 확정 시간</t>
  </si>
  <si>
    <t>2026-10-13 사용자 확인값. 현재도 같은지 캡처</t>
  </si>
  <si>
    <t>BL19</t>
  </si>
  <si>
    <t>FX 확정 복귀 습도</t>
  </si>
  <si>
    <t>2026-10-13 사용자 확인값. K6800 변경안 미적용</t>
  </si>
  <si>
    <t>BL20</t>
  </si>
  <si>
    <t>FX 나머지 판정 경계</t>
  </si>
  <si>
    <t>현재 래더와 대조. 실제 값이 다르면 기준선에 기록·도면 반영</t>
  </si>
  <si>
    <t>BL21</t>
  </si>
  <si>
    <t>공정 타임아웃</t>
  </si>
  <si>
    <t>현재 8개 값 기록. T7/D206은 예약, 시험 위해 시간을 줄이지 않음</t>
  </si>
  <si>
    <t>BL22</t>
  </si>
  <si>
    <t>SIM_IO 시간</t>
  </si>
  <si>
    <t>현재 8개 값과 자동 수거 확인. 실제 값 기록</t>
  </si>
  <si>
    <t>BL23</t>
  </si>
  <si>
    <t>공정 모드</t>
  </si>
  <si>
    <t>Manual1은 시퀀스 금지·조건부 계수초기화. Jog 없음</t>
  </si>
  <si>
    <t>BL24</t>
  </si>
  <si>
    <t>SIM 조작·표시 주소</t>
  </si>
  <si>
    <t>현재 성공한 읽기·쓰기 분리 유지. 표시에는 읽기 태그 사용</t>
  </si>
  <si>
    <t>BL25</t>
  </si>
  <si>
    <t>도면·표</t>
  </si>
  <si>
    <t>실제 파일명·개정·저장일. R/P 참조와 현재 도면번호 대응</t>
  </si>
  <si>
    <t>BL26</t>
  </si>
  <si>
    <t>PC 실행 환경</t>
  </si>
  <si>
    <t>노트북 / 유·무선 연결 / 운영체제 / 프로그램 버전</t>
  </si>
  <si>
    <t>실제 값만 기록. 부하·Wi-Fi를 오류 원인으로 단정하지 않음</t>
  </si>
  <si>
    <t>시험 증거 목록</t>
  </si>
  <si>
    <t>한 실행에 여러 증거를 등록할 수 있습니다. 경로는 SIM_FINAL_R1 폴더 기준으로 씁니다.</t>
  </si>
  <si>
    <t>유형</t>
  </si>
  <si>
    <t>파일 상대경로</t>
  </si>
  <si>
    <t>실제 확보시각 KST</t>
  </si>
  <si>
    <t>내용·확인값</t>
  </si>
  <si>
    <t>문제와 재시험</t>
  </si>
  <si>
    <t>문제의 종료 상태와 시험 합격은 구분합니다. 원인을 모르면 미확정으로 기록합니다.</t>
  </si>
  <si>
    <t>최초실행ID</t>
  </si>
  <si>
    <t>기대 동작</t>
  </si>
  <si>
    <t>실제 현상</t>
  </si>
  <si>
    <t>오류 출처·번호</t>
  </si>
  <si>
    <t>원인·확인 근거</t>
  </si>
  <si>
    <t>수정 내용·기준선</t>
  </si>
  <si>
    <t>재시험 실행ID</t>
  </si>
  <si>
    <t>상태</t>
  </si>
  <si>
    <t>종료 증거ID</t>
  </si>
  <si>
    <t>남은 영향·비고</t>
  </si>
  <si>
    <t>도면별 최종 대조</t>
  </si>
  <si>
    <t>R/P는 내용 참조입니다. 실제 사용 중인002_... 번호·파일을 입력합니다.</t>
  </si>
  <si>
    <t>참조ID</t>
  </si>
  <si>
    <t>도면명</t>
  </si>
  <si>
    <t>실제 도면번호</t>
  </si>
  <si>
    <t>파일명·개정</t>
  </si>
  <si>
    <t>핵심 대조 항목</t>
  </si>
  <si>
    <t>연관 시험ID</t>
  </si>
  <si>
    <t>실제 근거·증거ID</t>
  </si>
  <si>
    <t>검토 상태</t>
  </si>
  <si>
    <t>검토일</t>
  </si>
  <si>
    <t>DRAWING INDEX AND DOCUMENT BASIS</t>
  </si>
  <si>
    <t>현재 기능17장과 실물 확장 개념5장, 합계22장을 실제 최종 파일 목록과 맞춘다. 통합·삭제한 구도면을 현행 목록에 중복 포함하지 않는다.
도면번호·제목·개정·페이지·발행상태·파일명을 일치시킨다. R/P는 관리용ID이며 기존002 형식으로 바꿨다면 대응표를 둔다.
LS·FX는 시뮬레이터, 이송·클램프·분류는 모델, LabVIEW는 가상 검사, ESP 온습도는 실제 시제품이라는 구현 범위를 첫 페이지에 명시한다.
실물 PLC/컨베이어 결선·안전 성능·실제 반도체 검사·실물 패널 제작은 미검증/범위외라고 적는다. 전 도면을 제작승인본으로 묶지 않는다.</t>
  </si>
  <si>
    <t>P01, AE01, AE11, AE12</t>
  </si>
  <si>
    <t>SYSTEM ROLES AND PROCESS SCOPE</t>
  </si>
  <si>
    <t>주제는 반도체 후공정의 검사·분류 동작 모사이며, 실제 반도체 테스터/양산장비를 구현했다고 표현하지 않는다.
LS=주공정·계수, FX=환경판정, CIMON=화면·중계, LabVIEW=가상ATE·검사수락CSV, ESP=센서 수집으로 현재 역할을 맞춘다.
PASS/FAIL/RETEST3분류, RETEST의 자동 재투입/재검사 미구현, 외부 실제 로봇·컨베이어 미연결을 확인한다.
단발/연속은 같은 자동시퀀스의 반복 방식이고, PLC Manual은 개별 Jog 기능을 구현한 상태가 아님을 맞춘다.</t>
  </si>
  <si>
    <t>P02, P03, P04, P05, P06, AE02</t>
  </si>
  <si>
    <t>CURRENT COMMUNICATION NETWORK</t>
  </si>
  <si>
    <t>ESP Modbus TCP502/Unit1/FC04, LabVIEW↔CIMON TCP1502/Unit1, LS XGT Fast Ethernet 드라이버, FX OPC DA 경로를 실제 설정 캡처와 대조한다.
FX→LS는 CIMON 중계 경로이며 두 PLC 사이에 직접 통신선을 그리지 않는다. FX OPC Server와 GX Simulator를 구분한다.
실제 IP/포트/장치명/OPC그룹/갱신주기/폴링/Deadband를 적거나 명확한 통신 설정표 참조를 건다. 예시IP를 실측 확정값처럼 쓰지 않는다.
PC 내 시뮬레이터 연결과 ESP Wi-Fi 구간을 구별하고, 현재 미사용 RS485/RTU를 실행 경로로 남기지 않는다.
표 제목은 COMMUNICATION INTERFACE SUMMARY처럼 역할이 분명하게 붙이고 연결 대상·방향·클라이언트/서버 역할을 일치시킨다.</t>
  </si>
  <si>
    <t>AE01, AE08, AE09, AE10, AE11</t>
  </si>
  <si>
    <t>LOGICAL I/O AND WRITE OWNERS</t>
  </si>
  <si>
    <t>M01000·M01004~M0100B는 SIM_IO 작성, M01001~03은 명령 출처, M0100C는 LS 환경 수신부 작성으로 구분한다.
M01100~M01105는 MAIN의 장치명령이며 실물 P출력에 연결된 상태가 아님을 표시한다.
M00200~M00204 명령과 M02000~M02004/M02010~M02015 원시 모사 입력을 구분하고 같은 최종값의 중복 작성자가 없도록 맞춘다.
LS 주소는 D00100처럼5자리, M 끝자리16진수 표기를 유지한다. FX D100과 LS D00100을 혼동하지 않는다.
CIMON M 읽기/쓰기 주소가 다른 실제 설정은 HMI 주소표에 구분해 적고 논리PLC주소를 쓰기 오프셋 주소로 바꾸지 않는다.</t>
  </si>
  <si>
    <t>P01, P02, P07, P08, P10, P11, P12, P13, P14, P15, AE01</t>
  </si>
  <si>
    <t>VIRTUAL SAFETY AND STARTUP CONDITIONS</t>
  </si>
  <si>
    <t>비상정지 M02000=1누름, 문 M02001=1닫힘, 고장M02004=1비정상 극성을 맞춘다.
안전 복귀M02002·모델 정리M02003·공정 RESET M00202의 역할을 따로 표시한다.
원시 정상→새 안전 복귀→필요모델정리→공정 RESET→LS10/알람0→ATE READY→새START 순서로 복귀 흐름을 맞춘다.
원인 제거만으로 또는 복귀 버튼을 누른 채 원인을 제거했을 때 허가가 재설정되지 않는 것을 실제 증거와 연결한다.
일반 PLC의 가상 안전 릴레이 정책 모사이며 실제 안전회로·차단시간·이중채널·인증을 검증한 것이 아니라고 적는다.</t>
  </si>
  <si>
    <t>P01, P07, P08, P16</t>
  </si>
  <si>
    <t>LS PROCESS SEQUENCE AND RESULT ROUTING</t>
  </si>
  <si>
    <t>LS 상태0,10,20,30,40,50,60,70,80,81/82/83,90,100,110,900과 상태별 동작을 실제 결과와 맞춘다.
결과1/2/3은 PASS81/FAIL82/RETEST83으로 분기하고 분류 결과는 수락 래치D00102를 사용한다.
검사수락60→70과 제품완료100→110을 구분한다. CSV는 앞 사건, 생산량은 뒤 사건이어서 중단시 수가 다를 수 있다.
STOP=900/알람2, 안전상실=0/알람1, 장치고장=900/해당알람이라는 우선순위·수동복구 흐름을 맞춘다.
40·80·110은 짧게 지나갈 수 있으므로 사진에 모든 상태가 없다는 이유만으로 도면을 수정하지 않는다.</t>
  </si>
  <si>
    <t>P02, P03, P04, P07, P08, P10, P11, P12, P13, P14, P15, AE02, P17</t>
  </si>
  <si>
    <t>OPERATING MODES AND RESTART POLICY</t>
  </si>
  <si>
    <t>D00053=0 Auto/1 Manual과 D01220=0단발/1연속은 별개 선택으로 표시한다. Manual은 사이클 금지·대기 수량초기화이며Jog 미구현이다.
연속 선택만으로 시작하지 않고 첫START가 필요하며 M02100은 PLC가 계산하는 반복 기억이라는 것을 맞춘다.
연속→단발·환경허가OFF는 현재제품완료 후 다음기동을 막고, STOP/안전/고장은 기존 즉시중단 정책인 것을 구분한다.
환경복원·RESET·다시연속선택만으로 자동재개하지 않고 새START가 필요한 것을 증거와 맞춘다.
생산량32비트4종은 Manual+빈대기10+알람0+복구가능+새M00204에서만초기화되며 일반RESET/ACK는 수량을 지우지 않는다. 재RUN초기화 정책도 기록한다.</t>
  </si>
  <si>
    <t>P05, P06, P07, P08, P09, P16, AE11</t>
  </si>
  <si>
    <t>LS / VIRTUAL ATE REGISTER TRANSACTION</t>
  </si>
  <si>
    <t>CIMON 매핑과 LS D00020/21/22/24/25/26/27/28/29/30의 주소·방향·자료형을 맞춘다. PLC와LabVIEW 작성자가 겹치지 않는다.
실제 계약은 FC03 offset0 count14 읽기, FC16 offset3 count2 RESULT/RESPONSE_ID쓰기, PLC수신사본echo확인 후 FC06 offset5 DONE=1이다. 3워드 동시쓰기라고 쓰지 않는다.
DONE0 관찰·현재요청ID일치·유효결과1~3·60→70 수락 조건을 명시한다.
이후DONE0→echo0→payload정리 순서를 actual VI와 대조하고 D00029는 마지막 정상수락ID라 일반공정 RESET으로 지우지 않는 것을 맞춘다.
D00023/T0007/LS 알람108 예약 항목을 실제ATE하트비트검증 구현처럼 표시하지 않는다.</t>
  </si>
  <si>
    <t>P02, P03, P04, AE01, AE02, AE05, P17</t>
  </si>
  <si>
    <t>LABVIEW VIRTUAL ATE AND ACCEPTANCE CSV</t>
  </si>
  <si>
    <t>LabVIEW는SCADA가 아니라 VirtualATE이며 AUTO는0~5000mV모사값을low&lt;=voltage&lt;=high로PASS판정, MANUAL은 결과직접선택이라는 역할을 맞춘다.
결과·ID·기록용측정값은 새요청을수락하는상태65에서고정하고 상태70은1초가상 검사 지연이라는 실제VI흐름을 맞춘다.
CSV9열 captured_utc,request_id,mode,voltage_mV,low_mV,high_mV,result_code,accepted_utc,accepted_id를 실제 파일과대조한다.
수락확인 후1요청1행, MANUAL전압/상하한빈칸, request_id=accepted_id, UTC와KST9시간차이를 맞춘다.
CSV를실제반도체측정성적서·생산완료이력으로표현하지 않는다. 파일경로/실행ID/조회근거와저장실패의실제확인범위를연결한다.</t>
  </si>
  <si>
    <t>ESP32 SENSOR WIRING AND DATA FRAME</t>
  </si>
  <si>
    <t>실제 시제품은 ESP32-S3-DevKitC-1+DFRobot SEN0137, VCC=3V3·S=GPIO4·GND공통이라는현재 배선을맞춘다. 임의로5V배선으로그림을바꾸지않는다.
실제 3V3공급 시험 결과와제조사 5V전원 안내를구분하고 전원 사양 적합성 미평가메모를 유지한다. 실측 정상만으로권장 공급 범위가검증됐다고 하지않는다.
센서주기2500ms, raw 유효 감시6초, MAP/BOOT/SEQ/TEMP/RH/VALID/STATUS/AGE의단위·부호·범위가 현재 코드와 맞는지확인한다.
FC04 raw0~7과확장8~23을구분하고 packed DWORD 상위16비트=발행세대, 하위16비트=raw8값을표시한다.
미사용 센서·PWM모터제어·RTU·추가부하를현재 구현선에남기지 않고 ESP코드버전과정상 로그를증거로 연결한다.</t>
  </si>
  <si>
    <t>AE01, AE08</t>
  </si>
  <si>
    <t>FX SENSOR PREPARE / COMMIT / ACK</t>
  </si>
  <si>
    <t>FX D200~207수신 준비값, D208준비 요청,D209적용,D210초기화,D220~227준비 스냅샷,D228준비 ID,D230~237적용 스냅샷,D238ACK,D239초기화 ACK,D257highwater를실제 등록과맞춘다.
D240/D242/.../D254의DWORD미리보기는 하위word=값 · 상위word=준비 ID이며OPC에서 32비트unsigned로 읽는 것을맞춘다.
prepare→같은 ID 미리보기8개 확인→commit→적용 ACK 확인의순서를현재 성공 스크립트와맞춘다.
거래 ID1~32000·세션 중 중복 금지·늦은 ACK/재전송 처리·reset 요청 시highwater를함부로0으로 만들지 않는 정책을 실제 성공본과대조한다.
일시 진단본의 타임아웃/메시지와현재 normal_v01성공본을 섞지 않고 확정 스크립트명·폴링/갱신설정 버전을남긴다.</t>
  </si>
  <si>
    <t>AE01, AE08, AE09, AE11</t>
  </si>
  <si>
    <t>FX ENVIRONMENTAL JUDGMENT</t>
  </si>
  <si>
    <t>현재사용자 확정값 T0 K100=10초/T1 K60=6초/D7&lt;120(100ms단위)=12초/복귀습도상한K6500=65%RH를맞춘다. 제안했던 68%값을남기지않는다.
나머지실제 온습도 유지/복귀 범위와샘플5회 복귀 조건을성공본과대조해온도°C·습도%RH·원시값×100 단위를명시한다.
실측 모드M0=0, 판단 대상은commit된 D0~D7프레임이며 준비값만으로 허가하지 않는 다는것을맞춘다.
샘플 SEQ 갱신·자료 유효·상태·전달/센서 경과·히스테리시스 조건을구분한다. 고정된 cached 온습도 숫자만으로 허가하지 않는다.
허용범위 이탈을실제 온습도변화로 시험하지 않았다면 기존모의 판정 근거와구분하고 미실시 범위를R116에정직하게 기록한다.</t>
  </si>
  <si>
    <t>P09, AE01, AE08, AE09, AE11</t>
  </si>
  <si>
    <t>FX TO LS ENVIRONMENT TELEGRAM</t>
  </si>
  <si>
    <t>FX D100=(D33×32)+(D34×2)+M100, bit15=0·counter0~1023·code0~6·permit0/1을맞춘다.
CIMON이LS D00400으로전달하고LS가 D00401echo/코드/카운터/신선도/최종M0100C를계산하는대상을맞춘다.
CIMON측FXcounter3초미갱신 감시와LS T0010 K50=5초수신 미갱신 감시를구분하고 서로같은 타이머라고쓰지않는다.
LS M0100C는새 사이클 조건이며진행 중 제품마무리 정책과허가 복원 후 새 START 필요를표시한다.
형식 오류·counter 동결·초기32767 failword·자료 정상 태그가어느 계층의 값인지구분한다.</t>
  </si>
  <si>
    <t>P09, AE01, AE09, AE10, AE11</t>
  </si>
  <si>
    <t>LS ALARM TIMER AND OUTPUT INTERLOCKS</t>
  </si>
  <si>
    <t>LS 알람1안전 /2 STOP/101이송/102닫힘/103ATE응답/104결과오류/105열림/106게이트/107배출/109Home/190미등록상태를실제로 존재하는 기능과맞춘다.108은예약이다.
MAIN D00200~D00205/D00207의실제 제한시간과T0001~T0006/T0008 단위를기록한다. 시험 편의를 위해 단축한 임시값이최종 표에남지 않게 한다.
컨베이어 명령은state30 OR (state90 AND 선택 게이트 확인), 공통 허가, NOT클램프 닫힘 조건과맞춘다. 역방향 미사용을유지한다.
게이트 명령3개 배타·알람 시 공정 출력OFF·ACK는부저 확인만이라는조건을맞춘다.
이번시험으로직접 확인한 알람과기존 구현 명세에만 있는 알람을R116에서구분한다. 103은 P17 실제 증거로 확인하고, 104/190은 이번에 실행하지 않았으므로 설계 검토·네이티브 미실행으로 남긴다.</t>
  </si>
  <si>
    <t>P07, P08, P10, P11, P12, P13, P14, P15, AE02, P03, P04, P17</t>
  </si>
  <si>
    <t>SIM_IO PLANT RESPONSE AND FAULT INPUTS</t>
  </si>
  <si>
    <t>실행 순서는SIM_IO→MAIN이고각 프로그램의END를유지하는것을맞춘다.
제품 모델D01200의0/10/20/30/40과다음 값D01201은MAIN공정D00100/101과다르다는것을표시한다.
D01210~1217 설정·TON응답 / TMR 이동 적산·정지 시 위치/자세 보존·중단0/900에서만모델 정리 수락을맞춘다.
완료LS10/제품40/출력OFF/Home뒤T0059수거→모델0→다음연속START라는수거 인터록을맞춘다.
원시 고장M02010~2015와알람101/102/105/106/107/109대응을맞추고공급 실패 타임아웃을새 구현한 것처럼적지않는다.</t>
  </si>
  <si>
    <t>P01, P02, P03, P04, P06, P07, P08, P09, P10, P11, P12, P13, P14, P15</t>
  </si>
  <si>
    <t>CIMON PAGES COMMANDS AND DISPLAY</t>
  </si>
  <si>
    <t>실제 페이지 MAIN/ALARM/INSPECTION/ENVIRONMENT/SENSOR/SAFETY와기능을맞춘다. 과거 가이드 별칭SENSOR_CHECK/SIM_CONTROL을실제 파일명으로오해하지않게한다.
START/STOP/RESET/ACK/수량초기화명령은실제 태그 그룹·읽기/쓰기주소·순간/유지/토글방식과맞춘다.
안전팝업은원시 모사 입력만쓰고최종 M010xx/상태/반복 기억을화면이덮어쓰지 않게 맞춘다.
상태 문자열 스크립트·미등록값 처리·CSV최근5건 수동 새로고침·중계자료정상/신선도표시를현재 화면과맞춘다.
공정3D/애니메이션시각화·개별 Jog·권한 로그인·미구현 추세등을완료 화면으로남기지않는다.</t>
  </si>
  <si>
    <t>P01, P02, P03, P04, P05, P06, P07, P08, AE01, AE05, AE08, AE11, P17</t>
  </si>
  <si>
    <t>VERIFICATION AND EVIDENCE REGISTER</t>
  </si>
  <si>
    <t>각 필수 시험의시험ID·실행ID·일시·실제 결과·증거경로·프로그램버전·관련 도면을기입하고 미실시 기대값을PASS로바꾸지않는다.
중복 목적의P02/AE02같은항목은같은 실행 증거를교차 참조할 수 있지만 실시하지 않은 경계조건까지자동 합격시키지않는다.
30분목표연속시험은실제 시작/종료 시각·완료 수량·오류·CSV를남긴다. 읽기 횟수를시간/신뢰성 보증으로대체하지 않는다.
FAIL/BLOCKED/미확인·이전 실패와재시험 결과를보존하고실물 미시험·개념도·전원 사양메모등의한계를남긴다.
자체 작성/자체 검토 일시만사실대로 남기고 실제 하지 않은 고객 승인·납품 승인·안전 인증 서명란을채우지 않는다.</t>
  </si>
  <si>
    <t>PLANNED AC AND DC POWER DISTRIBUTION</t>
  </si>
  <si>
    <t>항상 CONCEPT / NOT FOR CONSTRUCTION으로표시하고실제 결선·정격·보호 협조·절연 검증 완료라고쓰지않는다.
XBC-DR32H본체 AC100~240V와별도24V 제어 전원 경로를구분한다. 정확한 실물 형식/부하/차단기/SMPS선정 미확정은개념 범위로표시한다.
PE가전원 스위치/퓨즈로차단되는 모양이아니고PLC출력접점으로모터 주전력을직접 구동하는 표현이없는지개념상 모순만 점검한다.
이번 제출 마감을위해새 전기 상세도·실물 시험을추가하지 않아도 된다. 미정 사항은설계가정/향후 검토 목록으로유지한다.</t>
  </si>
  <si>
    <t>PLANNED HARDWARE SAFETY ARCHITECTURE</t>
  </si>
  <si>
    <t>항상 CONCEPT / NOT FOR CONSTRUCTION. 외부 안전 릴레이/접촉기/수동복귀는실물 구성안이고SIM_IO모사와 구별한다.
비상정지·문·보조 상태·안전 출력의역할을구분하고 터치모듈이나일반 PLC만으로보호 기능을구현했다고표현하지않는다.
안전 성능 수준/이중 채널 진단/접점 용착 감시/위험성 평가는미실시 범위로남긴다. P08합격을하드웨어 안전성 합격으로옮기지 않는다.
안전 복귀와공정 RESET의역할이R104와일관되고장치 기호·연결 대상이P101/P103과충돌하지 않는지만 설계 검토한다.</t>
  </si>
  <si>
    <t>PLANNED PHYSICAL DI AND RELAY DO MAPPING</t>
  </si>
  <si>
    <t>항상 CONCEPT / NOT FOR CONSTRUCTION. DI P00000~0F/DO P00020~2F계획과실제M논리입력/출력을분리한다.
LS릴레이4점/COM그룹계획, 안전차단24V부하와상태등/부저유지전원계획이도면끼리일치하는지점검한다.
P0C같은물리 예비 입력과환경M0100C를혼동하지않는다. 실제 P매핑을다운로드·시험한 것으로쓰지않는다.
핀/단자/부하 정격 미정은미정으로 명시하고시험 결과를만들어 채우지 않는다. R103과의대응은설계 계획 수준이다.</t>
  </si>
  <si>
    <t>PLANNED PANEL ZONES AND TERMINAL GROUPS</t>
  </si>
  <si>
    <t>항상 CONCEPT / NOT FOR CONSTRUCTION. 패널 구획·단자대 그룹은배치 계획이며제작 치수/발열/접근성 검토 완료로표현하지않는다.
부품 수량/태그/단자대 그룹과P101~P103/P105의명칭을일치시킨다. 안전 복귀조작부와공정 RESET을혼동하지않는다.
외형 치수나부품 형번이확정되지 않았으면 축척NTS/치수 미정 표시를유지하고그림 크기를실제 장착 치수로사용하지 않게 한다.
사용자가실물 패널을제작하지 않는다는 현재범위에맞춰추가 구매·실측 장착 시험을마감 필수조건으로넣지않는다.</t>
  </si>
  <si>
    <t>PLANNED FIELD INTERFACES AND CABLE SCHEDULE</t>
  </si>
  <si>
    <t>항상 CONCEPT / NOT FOR CONSTRUCTION. 케이블/필드 기기/단자대스케줄이실물 설치 완료 명세로보이지않게한다.
각연결의 출발점·도착점·신호 종류·계획 케이블 그룹과P101~P104기호를맞추고실제 현재 통신은R102를참조시킨다.
길이/심수/선경/쉴드 접지/센서 극성/단자번호 미확정은개념 단계 미정으로표시하고추정값을실측치처럼 쓰지않는다.
실제 도입하지 않은 기기와현재 ESP 시제품을분리하고이개념도에는실물 시험PASS항목을연결하지않는다.</t>
  </si>
  <si>
    <t>기준선 BL-001 / 실행 RUN-YYYYMMDD-01</t>
    <phoneticPr fontId="6" type="noConversion"/>
  </si>
  <si>
    <t>현재 성공한 실제 폴링500ms / Deadband0</t>
    <phoneticPr fontId="6" type="noConversion"/>
  </si>
  <si>
    <t>AUTO3300 / Low3000 / High3600 / 검사1초</t>
    <phoneticPr fontId="6" type="noConversion"/>
  </si>
  <si>
    <t>FC16 offset3 count2 → PLC echo → FC06 offset5 DONE=1</t>
    <phoneticPr fontId="6" type="noConversion"/>
  </si>
  <si>
    <t>CIMON 서버1502 / Unit1 / FC03 offset0 count14</t>
    <phoneticPr fontId="6" type="noConversion"/>
  </si>
  <si>
    <t>사용자 확인 SEN0137 VCC3V3 / 공통GND / S→GPIO4</t>
    <phoneticPr fontId="6" type="noConversion"/>
  </si>
  <si>
    <t>SEN0137 VCC3V3 / 공통GND / S→GPIO4</t>
    <phoneticPr fontId="6" type="noConversion"/>
  </si>
  <si>
    <t>Wi-Fi ModbusTCP502 / Unit1 / FC04</t>
    <phoneticPr fontId="6" type="noConversion"/>
  </si>
  <si>
    <t>측정2500ms / 원시 stale6s</t>
    <phoneticPr fontId="6" type="noConversion"/>
  </si>
  <si>
    <t>T0 K100=10s / T1 K60=6s / D7 K120=12s</t>
    <phoneticPr fontId="6" type="noConversion"/>
  </si>
  <si>
    <t>상한 K6500 =65%RH</t>
    <phoneticPr fontId="6" type="noConversion"/>
  </si>
  <si>
    <t>기준 설계: 유지18~30°C·30~70% / 복귀19~29°C·35~65% / 새 정상5회</t>
    <phoneticPr fontId="6" type="noConversion"/>
  </si>
  <si>
    <t>유지18~30°C·30~70% / 복귀19~29°C·35~65% / 새 정상5회</t>
    <phoneticPr fontId="6" type="noConversion"/>
  </si>
  <si>
    <t>D00200..207 / T0001..8 / 100ms 단위</t>
    <phoneticPr fontId="6" type="noConversion"/>
  </si>
  <si>
    <t>D01210..217 기준5,20,2,15,10,4,5,5 / 100ms</t>
    <phoneticPr fontId="6" type="noConversion"/>
  </si>
  <si>
    <t>기준값·확인 근거</t>
    <phoneticPr fontId="6" type="noConversion"/>
  </si>
  <si>
    <t>최종 VirtualATE VI와 필요 하위 VI</t>
    <phoneticPr fontId="6" type="noConversion"/>
  </si>
  <si>
    <t>D00053=0 Auto / D01220=0 단발</t>
    <phoneticPr fontId="6" type="noConversion"/>
  </si>
  <si>
    <t>M02000 예: 읽기2000 / 쓰기3200 / 가상조작 태그</t>
    <phoneticPr fontId="6" type="noConversion"/>
  </si>
  <si>
    <t>노트북 / 무선 연결 / 윈도우11 26H2 / XG5000 4.78 / LabVIEW 2026 Q1 32Bit / CIMON 3.91.10 / GXWorks2 1.620W / MX OPC SERVER 6.10 / ESP-IDF 6.0.1</t>
    <phoneticPr fontId="6" type="noConversion"/>
  </si>
  <si>
    <t>현재 CIMON 센서 중계 성공본
SensorFxBridgeLoop / SensorFxBridgeStart / SensorPackedCheck</t>
    <phoneticPr fontId="6" type="noConversion"/>
  </si>
  <si>
    <t>사용자가 만든 최신 DWG·그 DWG에서 플롯한 PDF / R0 표</t>
    <phoneticPr fontId="6" type="noConversion"/>
  </si>
  <si>
    <t>"06_TEST\01_PLAN\BASELINE_BL-001\SEMICON_SORTER\SEMICON_SORTER.xgwx"</t>
  </si>
  <si>
    <t>"06_TEST\01_PLAN\BASELINE_BL-001\SEMICON_SORTER_ENV\SEMICON_SORTER_ENV.gxw"</t>
  </si>
  <si>
    <t>"06_TEST\01_PLAN\BASELINE_BL-001\SEMICON_SORTER_HMI\SEMICON_SORTER_HMI.prj"</t>
  </si>
  <si>
    <t>"06_TEST\01_PLAN\BASELINE_BL-001\SEMICON_SORTER_HMI\SEMICON_SORTER_HMI.scx"</t>
  </si>
  <si>
    <t>"06_TEST\01_PLAN\BASELINE_BL-001\SEMICON_SORTER_ATE\SEMICON_SORTER_ATE.lvproj"</t>
  </si>
  <si>
    <t>"06_TEST\01_PLAN\BASELINE_BL-001\SEMICON_SORTER_SENSOR\"</t>
  </si>
  <si>
    <t>"06_TEST\01_PLAN\BASELINE_BL-001\SEMICON_SORTER_HMI\CimonDbm.mdb"</t>
  </si>
  <si>
    <t>"01_CAD\SEMICON_BACKEND_FINAL_TEST_SORTER.aepx"
"D:\A\E_Portfolio\SEMICON_BACKEND_FINAL_TEST_SORTER\01_CAD\02_FINAL\" 001~022 dwg</t>
  </si>
  <si>
    <t>"06_TEST\01_PLAN\BASELINE_BL-001\SEMICON_SORTER_ENV\MXOPC\MXConfigurator.mdb"</t>
    <phoneticPr fontId="6" type="noConversion"/>
  </si>
  <si>
    <t>현재 성공한 갱신500ms</t>
    <phoneticPr fontId="6" type="noConversion"/>
  </si>
  <si>
    <t>"06_TEST\01_PLAN\BASELINE_BL-001\SEMICON_SORTER_HMI\"
FX-OPC.dvx, ESP.dvx, LABVIEW.dvx, LS XGB ENET.dvx</t>
    <phoneticPr fontId="6" type="noConversion"/>
  </si>
  <si>
    <t>"06_TEST\01_PLAN\BASELINE_BL-001\SEMICON_SORTER_HMI\FX-OPC.dvx"</t>
    <phoneticPr fontId="6" type="noConversion"/>
  </si>
  <si>
    <t>IP=10.100.104.27
TCP 포트502 / Unit ID1 / FC04
원시 offset0~7 / 확장 offset8~23
CIMON 통신블록: 30001부터24워드
SENSOR_BRIDGE_WORD_SWAP=1</t>
    <phoneticPr fontId="6" type="noConversion"/>
  </si>
  <si>
    <t>타이머 단위=100ms
D00200=600 / D00201=600 / D00202=1200
D00203=600 / D00204=600 / D00205=600
D00206=0(예약) / D00207=600</t>
    <phoneticPr fontId="6" type="noConversion"/>
  </si>
  <si>
    <t>SIM_IO 시간 단위=100ms
D01210=5 / D01211=20 / D01212=2
D01213=15 / D01214=10 / D01215=4
D01216=5 / D01217=5</t>
    <phoneticPr fontId="6" type="noConversion"/>
  </si>
  <si>
    <t>RUN20261017-01-P01-A01</t>
    <phoneticPr fontId="6" type="noConversion"/>
  </si>
  <si>
    <t>BL-001</t>
  </si>
  <si>
    <t>BL-001</t>
    <phoneticPr fontId="6" type="noConversion"/>
  </si>
  <si>
    <t>EV_BL001_01</t>
  </si>
  <si>
    <t>EV_BL001_02</t>
  </si>
  <si>
    <t>EV_BL001_03</t>
  </si>
  <si>
    <t>EV_BL001_04</t>
  </si>
  <si>
    <t>EV_BL001_05</t>
  </si>
  <si>
    <t>EV_BL001_06</t>
  </si>
  <si>
    <t>EV_BL001_07</t>
  </si>
  <si>
    <t>EV_BL001_08</t>
  </si>
  <si>
    <t>EV_BL001_09</t>
  </si>
  <si>
    <t>EV_BL001_10</t>
  </si>
  <si>
    <t>EV_BL001_11</t>
  </si>
  <si>
    <t>EV_BL001_12</t>
  </si>
  <si>
    <t>EV_BL001_13</t>
  </si>
  <si>
    <t>EV_BL001_14</t>
  </si>
  <si>
    <t>EV_BL001_15</t>
  </si>
  <si>
    <t>EV_BL001_16</t>
  </si>
  <si>
    <t>EV_BL001_17</t>
  </si>
  <si>
    <t>EV_BL001_18</t>
  </si>
  <si>
    <t>EV_BL001_19</t>
  </si>
  <si>
    <t>EV_BL001_20</t>
  </si>
  <si>
    <t>EV_BL001_21</t>
  </si>
  <si>
    <t>EV_BL001_22</t>
  </si>
  <si>
    <t>EV_BL001_23</t>
  </si>
  <si>
    <t>EV_BL001_24</t>
  </si>
  <si>
    <t>EV_BL001_25</t>
  </si>
  <si>
    <t>EV_BL001_26</t>
  </si>
  <si>
    <t>기준선 BL-001 / 실행 RUN-20261017-01</t>
    <phoneticPr fontId="6" type="noConversion"/>
  </si>
  <si>
    <t>"06_TEST\04_EVIDENCE\RUN-20261017-01\csv\20261017-01.csv"</t>
    <phoneticPr fontId="6" type="noConversion"/>
  </si>
  <si>
    <t>RUN20261017-01-AE01-A01</t>
    <phoneticPr fontId="6" type="noConversion"/>
  </si>
  <si>
    <t>Total 0→0 / PASS 0→0 / FAIL 0→0 / RETEST 0→0
CSV 미생성 / 신규 검사 요청 없음</t>
    <phoneticPr fontId="6" type="noConversion"/>
  </si>
  <si>
    <t>RUN 직후: 공정상태0, 알람1, 안전허가0 확인.
안전 복귀 후: 안전허가1, 공정상태0·알람1 유지 확인.
공정 RESET 후: 공정상태10, 알람0, ATE_READY=True 확인.
20초 대기 중 자동 기동 없음, 제품 모델0 유지 확인.</t>
    <phoneticPr fontId="6" type="noConversion"/>
  </si>
  <si>
    <t>합격</t>
  </si>
  <si>
    <t>P01_01_initial.png</t>
    <phoneticPr fontId="6" type="noConversion"/>
  </si>
  <si>
    <t>사진</t>
  </si>
  <si>
    <t>P01_02_safety_rearmed</t>
    <phoneticPr fontId="6" type="noConversion"/>
  </si>
  <si>
    <t>P01_03_reset_ready_01</t>
    <phoneticPr fontId="6" type="noConversion"/>
  </si>
  <si>
    <t>P01_03_reset_ready_02</t>
    <phoneticPr fontId="6" type="noConversion"/>
  </si>
  <si>
    <t>P01_04_ate_ready</t>
    <phoneticPr fontId="6" type="noConversion"/>
  </si>
  <si>
    <t>안전 허가 OFF, 제품 모델 D01200=0, 단발 설정 D01220=0</t>
    <phoneticPr fontId="6" type="noConversion"/>
  </si>
  <si>
    <t>공정 상태 D00100=0, 알람 D00310=1 유지</t>
    <phoneticPr fontId="6" type="noConversion"/>
  </si>
  <si>
    <t>RESET 후 공정 상태 10, 알람 0</t>
    <phoneticPr fontId="6" type="noConversion"/>
  </si>
  <si>
    <t>제품 모델 D01200=0</t>
    <phoneticPr fontId="6" type="noConversion"/>
  </si>
  <si>
    <t>ATE_STATE=60, ATE_READY=True, PLC_LIVE_OK=True</t>
    <phoneticPr fontId="6" type="noConversion"/>
  </si>
  <si>
    <t>RUN20261017-01-AE01-A01</t>
  </si>
  <si>
    <t>AE01_01_esp_monitor.png</t>
  </si>
  <si>
    <t>AE01_01_esp_monitor.png</t>
    <phoneticPr fontId="6" type="noConversion"/>
  </si>
  <si>
    <t>ESP BOOT52/정상SEQ5~9(VALID1/STATUS0) 확인.
CIMON SEQ64→96/이번실행ACK12→38 및 센서·환경중계 실행ON/오류0 확인.
준비 중 GX 온습도0/허가OFF 및 LS 상태0/알람1 사진을 보존함.
안전복귀·공정RESET 후 LS 상태10/알람0, 안전·문·환경허가1, 요청0, 생존카운터209→537 확인.
제품모델0 유지(시험자 확인).
ATE_STATE60/ATE_READY=True/PLC_LIVE_OK=True 확인.</t>
    <phoneticPr fontId="6" type="noConversion"/>
  </si>
  <si>
    <t>TOTAL 0→0(32비트 D00300~301 사진 확인).
PASS·FAIL·RETEST 전체32비트 누계는 캡처 범위 밖.
D00022=0→0, 수락ID 미확인.
지정 증거폴더에 ATE 결과CSV 미생성.</t>
    <phoneticPr fontId="6" type="noConversion"/>
  </si>
  <si>
    <t>06_TEST\04_EVIDENCE\RUN-20261017-01\screens\AE01_01_esp_monitor.png</t>
  </si>
  <si>
    <t>ESP BOOT52/SEQ5~9, 온도24.6°C/습도51.4~51.5%RH, valid1/status0/age0인 서로 다른 정상 샘플5개.</t>
  </si>
  <si>
    <t>AE01_02_sensor_T1.png</t>
  </si>
  <si>
    <t>06_TEST\04_EVIDENCE\RUN-20261017-01\screens\AE01_02_sensor_T1.png</t>
  </si>
  <si>
    <t>CIMON 센서중계 실행ON/오류0; BOOT52/SEQ64/TEMP2480/RH5110/VALID1/STATUS0; TX1473/PREP1473/ACK1472/이번실행ACK12.</t>
  </si>
  <si>
    <t>AE01_03_sensor_T2.png</t>
  </si>
  <si>
    <t>06_TEST\04_EVIDENCE\RUN-20261017-01\screens\AE01_03_sensor_T2.png</t>
  </si>
  <si>
    <t>CIMON 센서중계 실행ON/오류0; BOOT52/SEQ96/TEMP2480/RH5080/VALID1/STATUS0; TX1499/PREP1499/ACK1498/이번실행ACK38. T1 대비SEQ·ACK 증가.</t>
  </si>
  <si>
    <t>AE01_04_environment.png</t>
  </si>
  <si>
    <t>06_TEST\04_EVIDENCE\RUN-20261017-01\screens\AE01_04_environment.png</t>
  </si>
  <si>
    <t>온도24.80°C/습도50.90%RH; FX·LS 환경허가ON; 환경중계 실행ON/오류0; 정상복귀5/5. 당시 공정 시작준비OFF인 준비 중 화면.</t>
  </si>
  <si>
    <t>AE01_05_fx_01.png</t>
  </si>
  <si>
    <t>06_TEST\04_EVIDENCE\RUN-20261017-01\screens\AE01_05_fx_01.png</t>
  </si>
  <si>
    <t>보완 전 GX 실시간 모니터 M0=0/M100=0. 최종 정상 상태는 이후 시험자 추가 확인으로 구분.</t>
  </si>
  <si>
    <t>AE01_05_fx_02.png</t>
  </si>
  <si>
    <t>06_TEST\04_EVIDENCE\RUN-20261017-01\screens\AE01_05_fx_02.png</t>
  </si>
  <si>
    <t>AE01_06_ls_T1_01.png</t>
  </si>
  <si>
    <t>06_TEST\04_EVIDENCE\RUN-20261017-01\screens\AE01_06_ls_T1_01.png</t>
  </si>
  <si>
    <t>안전복귀·RESET 전 LS T1: M01000=0/M01007=1/M0100C=1; D00100=0/D00310=1/D00022=0/D00030=742; TOTAL0.</t>
  </si>
  <si>
    <t>AE01_06_ls_T1_02.png</t>
  </si>
  <si>
    <t>06_TEST\04_EVIDENCE\RUN-20261017-01\screens\AE01_06_ls_T1_02.png</t>
  </si>
  <si>
    <t>LS T1 보충: 제품모델 D01200=0.</t>
  </si>
  <si>
    <t>AE01_07_ls_T2_01.png</t>
  </si>
  <si>
    <t>06_TEST\04_EVIDENCE\RUN-20261017-01\screens\AE01_07_ls_T2_01.png</t>
  </si>
  <si>
    <t>안전복귀·RESET 전 LS T2: M01000=0/M01007=1/M0100C=1; D00100=0/D00310=1/D00022=0/D00030=982; TOTAL0. T1 대비 생존카운터 증가.</t>
  </si>
  <si>
    <t>AE01_07_ls_T2_02.png</t>
  </si>
  <si>
    <t>06_TEST\04_EVIDENCE\RUN-20261017-01\screens\AE01_07_ls_T2_02.png</t>
  </si>
  <si>
    <t>LS T2 보충: 제품모델 D01200=0 유지.</t>
  </si>
  <si>
    <t>AE01_08_ate_ready.png</t>
  </si>
  <si>
    <t>06_TEST\04_EVIDENCE\RUN-20261017-01\screens\AE01_08_ate_ready.png</t>
  </si>
  <si>
    <t>LabVIEW ATE_STATE=60/ATE_READY=True/PLC_LIVE_OK=True. 최종 시점에도 정상임을 시험자가 추가 확인.</t>
  </si>
  <si>
    <t>AE01_06_ls_T1_01_ready.png</t>
  </si>
  <si>
    <t>06_TEST\04_EVIDENCE\RUN-20261017-01\screens\AE01_06_ls_T1_01_ready.png</t>
  </si>
  <si>
    <t>안전복귀·공정RESET 후 LS T1: M01000=1/M01007=1/M0100C=1; D00100=10/D00310=0/D00022=0/D00030=209; TOTAL0. 정상 대기 확인.</t>
  </si>
  <si>
    <t>AE01_06_ls_T2_01_ready.png</t>
  </si>
  <si>
    <t>06_TEST\04_EVIDENCE\RUN-20261017-01\screens\AE01_06_ls_T2_01_ready.png</t>
  </si>
  <si>
    <t>LS T2: M01000=1/M01007=1/M0100C=1; D00100=10/D00310=0/D00022=0/D00030=537; TOTAL0. T1 대비 생존카운터 증가, 정상 대기·요청0 유지.</t>
  </si>
  <si>
    <t>보완 전 GX D3=0/D4=0/D7=32000/D32=0/D33=215/D34=1.</t>
    <phoneticPr fontId="6" type="noConversion"/>
  </si>
  <si>
    <t>06_TEST\04_EVIDENCE\RUN-20261017-01\screens\P01_01_initial.png</t>
    <phoneticPr fontId="6" type="noConversion"/>
  </si>
  <si>
    <t>06_TEST\04_EVIDENCE\RUN-20261017-01\screens\P01_02_safety_rearmed.png</t>
    <phoneticPr fontId="6" type="noConversion"/>
  </si>
  <si>
    <t>06_TEST\04_EVIDENCE\RUN-20261017-01\screens\P01_03_reset_ready_01.png</t>
    <phoneticPr fontId="6" type="noConversion"/>
  </si>
  <si>
    <t>06_TEST\04_EVIDENCE\RUN-20261017-01\screens\P01_03_reset_ready_02.png</t>
    <phoneticPr fontId="6" type="noConversion"/>
  </si>
  <si>
    <t>06_TEST\04_EVIDENCE\RUN-20261017-01\screens\P01_04_ate_ready.png</t>
    <phoneticPr fontId="6" type="noConversion"/>
  </si>
  <si>
    <t>RUN20261017-01-P02-A01</t>
  </si>
  <si>
    <t>P02_01_cycle.mp4</t>
  </si>
  <si>
    <t>TOTAL 0→1 / PASS 0→1 / FAIL 0→0 / RETEST 0→0. CSV 데이터1행(헤더 제외), AUTO/3300mV/범위3000~3600mV/결과1.
request_id=accepted_id=1, D00024=D00029=1, D00102=1.
최종 요청D00022=0, Auto D00053=0, 단발 D01220=0.</t>
    <phoneticPr fontId="6" type="noConversion"/>
  </si>
  <si>
    <t>P02_00_before.png</t>
  </si>
  <si>
    <t>06_TEST\04_EVIDENCE\RUN-20261017-01\screens\P02_00_before.png</t>
  </si>
  <si>
    <t>P02_00_ate_settings.png</t>
  </si>
  <si>
    <t>06_TEST\04_EVIDENCE\RUN-20261017-01\screens\P02_00_ate_settings.png</t>
  </si>
  <si>
    <t>영상</t>
  </si>
  <si>
    <t>06_TEST\04_EVIDENCE\RUN-20261017-01\video\P02_01_cycle.mp4</t>
  </si>
  <si>
    <t>P02_02_counts.png</t>
  </si>
  <si>
    <t>06_TEST\04_EVIDENCE\RUN-20261017-01\screens\P02_02_counts.png</t>
  </si>
  <si>
    <t>P02_02_result1.png</t>
  </si>
  <si>
    <t>06_TEST\04_EVIDENCE\RUN-20261017-01\screens\P02_02_result1.png</t>
  </si>
  <si>
    <t>P02_02_result2.png</t>
  </si>
  <si>
    <t>06_TEST\04_EVIDENCE\RUN-20261017-01\screens\P02_02_result2.png</t>
  </si>
  <si>
    <t>P02_03_ate.csv</t>
  </si>
  <si>
    <t>06_TEST\04_EVIDENCE\RUN-20261017-01\csv\P02_03_ate.csv</t>
  </si>
  <si>
    <t>P02_04_inspection.png</t>
  </si>
  <si>
    <t>06_TEST\04_EVIDENCE\RUN-20261017-01\screens\P02_04_inspection.png</t>
  </si>
  <si>
    <t>헤더1행+데이터1행. request_id=accepted_id=1/AUTO/3300mV/하한3000/상한3600/결과1.
captured_utc=09:51:31Z, accepted_utc=09:51:33Z(한국시각18:51:31/18:51:33).</t>
    <phoneticPr fontId="6" type="noConversion"/>
  </si>
  <si>
    <t>동일 CSV 조회. 최근결과1행, 요청ID1/수락ID1/결과래치1 PASS/AUTO3300mV/범위3000~3600.
상태10·요청0, TOTAL1/PASS1/기타0으로 원본 CSV·LS와 일치.</t>
    <phoneticPr fontId="6" type="noConversion"/>
  </si>
  <si>
    <t>LS D00100=10/D00102=1/D00024=1/D00029=1/D00022=0/D00053=0/D00310=0.
TOTAL·PASS 32비트 누계1, FAIL·RETEST 0.</t>
    <phoneticPr fontId="6" type="noConversion"/>
  </si>
  <si>
    <t>20.17초. START 후 검사→PASS 게이트81→배출90→게이트복귀100→대기10.
PASS 명령·도달 ON, FAIL·RETEST OFF. TOTAL1/PASS1/기타0, 영상 종료까지 재시작 없음.</t>
    <phoneticPr fontId="6" type="noConversion"/>
  </si>
  <si>
    <t>시험 전 상태10/Auto0/단발.
TOTAL·PASS·FAIL·RETEST 모두0, 운전조건4개 ON, 알람0.</t>
    <phoneticPr fontId="6" type="noConversion"/>
  </si>
  <si>
    <t>AutoVoltage ON, 가상전압3300mV, 하한3000/상한3600mV.
ATE_STATE60, ATE_READY·PLC_LIVE_OK ON, 오류코드0.</t>
    <phoneticPr fontId="6" type="noConversion"/>
  </si>
  <si>
    <t>완료 후 상태10/Auto0/단발.
TOTAL1/PASS1/FAIL0/RETEST0, 수락결과PASS, 알람0.
영상 이후에도 수량 유지.</t>
    <phoneticPr fontId="6" type="noConversion"/>
  </si>
  <si>
    <t>LS D01200=0 확인.
배출·가상 수거 후 제품 모델이 빈 상태로 복귀.</t>
    <phoneticPr fontId="6" type="noConversion"/>
  </si>
  <si>
    <t>Auto·단발에서 START 1회 후 검사응답대기60→PASS 게이트대기81→배출이송90→게이트복귀100→대기10 확인.
PASS 명령·도달 ON, FAIL·RETEST 미동작 확인.
완료 후 알람0, 영상 종료까지 추가 사이클 없음.
후속 사진에서도 수량·요청ID·수락ID 유지 확인.
제품 모델 D01200=0 복귀 확인.</t>
    <phoneticPr fontId="6" type="noConversion"/>
  </si>
  <si>
    <t>RUN20261017-01-P03-A01</t>
  </si>
  <si>
    <t>P03_01_cycle.mp4</t>
  </si>
  <si>
    <t>Auto·단발에서 검사응답대기60→FAIL 게이트대기82→배출이송90→대기10 확인.
FAIL 명령·도달 ON, PASS·RETEST 미동작 확인. 완료 후 알람0, 영상 종료까지 추가 사이클 없음.
후속 사진에서도 수량·요청ID·수락ID 유지.
제품 모델 D01200=0 복귀 및 단발 D01220=0 확인.</t>
    <phoneticPr fontId="6" type="noConversion"/>
  </si>
  <si>
    <t>TOTAL 0→1 / PASS 0→0 / FAIL 0→1 / RETEST 0→0.
시험 전용 CSV 데이터1행(헤더 제외), AUTO/2900mV/범위3000~3600mV/결과2. request_id=accepted_id=1, D00024=D00029=1, D00102=2.
최종 요청D00022=0, Auto D00053=0.</t>
    <phoneticPr fontId="6" type="noConversion"/>
  </si>
  <si>
    <t>P03_00_before.png</t>
  </si>
  <si>
    <t>06_TEST\04_EVIDENCE\RUN-20261017-01\screens\P03_00_before.png</t>
  </si>
  <si>
    <t>P03_00_ate_settings.png</t>
  </si>
  <si>
    <t>06_TEST\04_EVIDENCE\RUN-20261017-01\screens\P03_00_ate_settings.png</t>
  </si>
  <si>
    <t>06_TEST\04_EVIDENCE\RUN-20261017-01\video\P03_01_cycle.mp4</t>
  </si>
  <si>
    <t>P03_02_counts.png</t>
  </si>
  <si>
    <t>06_TEST\04_EVIDENCE\RUN-20261017-01\screens\P03_02_counts.png</t>
  </si>
  <si>
    <t>P03_02_result1.png</t>
  </si>
  <si>
    <t>06_TEST\04_EVIDENCE\RUN-20261017-01\screens\P03_02_result1.png</t>
  </si>
  <si>
    <t>LS D00100=10/D00102=2/D00024=1/D00029=1/D00022=0/D00053=0/D00310=0. D00300~D00307=1/0/0/0/1/0/0/0으로 TOTAL·FAIL의 32비트 누계1, PASS·RETEST0 확인.</t>
  </si>
  <si>
    <t>P03_02_result2.png</t>
  </si>
  <si>
    <t>06_TEST\04_EVIDENCE\RUN-20261017-01\screens\P03_02_result2.png</t>
  </si>
  <si>
    <t>P03_03_ate.csv</t>
  </si>
  <si>
    <t>06_TEST\04_EVIDENCE\RUN-20261017-01\csv\P03_03_ate.csv</t>
  </si>
  <si>
    <t>P03_04_inspection.png</t>
  </si>
  <si>
    <t>06_TEST\04_EVIDENCE\RUN-20261017-01\screens\P03_04_inspection.png</t>
  </si>
  <si>
    <t>독립 시험 시작 전 상태10/Auto0/단발.
TOTAL·PASS·FAIL·RETEST 모두0, 운전조건4개 ON, 알람0.</t>
    <phoneticPr fontId="6" type="noConversion"/>
  </si>
  <si>
    <t>AutoVoltage ON, 가상전압2900mV, 하한3000/상한3600mV. ATE_STATE60, ATE_READY·PLC_LIVE_OK ON, 오류코드0.
LogFilePath는 이번 시험 전용 P03_03_ate.csv.</t>
    <phoneticPr fontId="6" type="noConversion"/>
  </si>
  <si>
    <t>약19.6초. 검사응답대기60→FAIL 게이트대기82→배출90→대기10 확인.
FAIL 명령·도달 ON, PASS·RETEST OFF. TOTAL1/FAIL1/기타0.
복귀 후 약11초간 영상에서 추가 운전·계수 없음.</t>
    <phoneticPr fontId="6" type="noConversion"/>
  </si>
  <si>
    <t>완료 후 상태10/Auto0/단발.
TOTAL1/PASS0/FAIL1/RETEST0, 수락결과FAIL, 알람0.
영상 이후에도 수량 유지.</t>
    <phoneticPr fontId="6" type="noConversion"/>
  </si>
  <si>
    <t>LS D01200=0 및 D01220=0 확인.
배출·가상 수거 후 제품 모델이 빈 상태로 복귀하고 단발 설정 유지.</t>
    <phoneticPr fontId="6" type="noConversion"/>
  </si>
  <si>
    <t>헤더1행+데이터1행.
request_id=accepted_id=1/AUTO/2900mV/하한3000/상한3600/결과2.
captured_utc=10:21:08Z, accepted_utc=10:21:09Z(한국시각19:21:08/19:21:09).</t>
    <phoneticPr fontId="6" type="noConversion"/>
  </si>
  <si>
    <t>RUN20261017-01-P04-A01</t>
  </si>
  <si>
    <t>P04_01_cycle.mp4</t>
  </si>
  <si>
    <t>LabVIEW AutoVoltage OFF·RETEST 선택, PLC Auto·단발에서 검사응답대기60→RETEST 게이트대기83→배출이송90→대기10 확인.
RETEST 명령·도달 ON, PASS·FAIL 미동작 확인.
완료 후 알람0, 영상 종료까지 추가 사이클 없음.
후속 사진에서도 수량·요청ID·수락ID 유지.
제품 모델 D01200=0 복귀 및 단발 D01220=0 확인.</t>
    <phoneticPr fontId="6" type="noConversion"/>
  </si>
  <si>
    <r>
      <t>TOTAL 0→1 / PASS 0→0 / FAIL 0→0 / RETEST 0→1. 시험 전용 CSV 데이터1행(헤더 제외), MANUAL/전압</t>
    </r>
    <r>
      <rPr>
        <sz val="10"/>
        <color rgb="FF1C2D3D"/>
        <rFont val="MS Gothic"/>
        <family val="3"/>
        <charset val="128"/>
      </rPr>
      <t>・</t>
    </r>
    <r>
      <rPr>
        <sz val="10"/>
        <color rgb="FF1C2D3D"/>
        <rFont val="Malgun Gothic"/>
        <family val="3"/>
        <charset val="129"/>
      </rPr>
      <t>하한</t>
    </r>
    <r>
      <rPr>
        <sz val="10"/>
        <color rgb="FF1C2D3D"/>
        <rFont val="MS Gothic"/>
        <family val="3"/>
        <charset val="128"/>
      </rPr>
      <t>・</t>
    </r>
    <r>
      <rPr>
        <sz val="10"/>
        <color rgb="FF1C2D3D"/>
        <rFont val="Malgun Gothic"/>
        <family val="3"/>
        <charset val="129"/>
      </rPr>
      <t>상한 공란/결과3.
request_id=accepted_id=1, D00024=D00029=1, D00102=3. 최종 요청D00022=0, Auto D00053=0.</t>
    </r>
    <phoneticPr fontId="6" type="noConversion"/>
  </si>
  <si>
    <t>P04_00_before.png</t>
  </si>
  <si>
    <t>06_TEST\04_EVIDENCE\RUN-20261017-01\screens\P04_00_before.png</t>
  </si>
  <si>
    <t>P04_00_ate_settings.png</t>
  </si>
  <si>
    <t>06_TEST\04_EVIDENCE\RUN-20261017-01\screens\P04_00_ate_settings.png</t>
  </si>
  <si>
    <t>06_TEST\04_EVIDENCE\RUN-20261017-01\video\P04_01_cycle.mp4</t>
  </si>
  <si>
    <t>P04_02_counts.png</t>
  </si>
  <si>
    <t>06_TEST\04_EVIDENCE\RUN-20261017-01\screens\P04_02_counts.png</t>
  </si>
  <si>
    <t>P04_02_result1.png</t>
  </si>
  <si>
    <t>06_TEST\04_EVIDENCE\RUN-20261017-01\screens\P04_02_result1.png</t>
  </si>
  <si>
    <t>P04_02_result2.png</t>
  </si>
  <si>
    <t>06_TEST\04_EVIDENCE\RUN-20261017-01\screens\P04_02_result2.png</t>
  </si>
  <si>
    <t>P04_03_ate.csv</t>
  </si>
  <si>
    <t>06_TEST\04_EVIDENCE\RUN-20261017-01\csv\P04_03_ate.csv</t>
  </si>
  <si>
    <t>P04_04_inspection.png</t>
  </si>
  <si>
    <t>06_TEST\04_EVIDENCE\RUN-20261017-01\screens\P04_04_inspection.png</t>
  </si>
  <si>
    <t>AutoVoltage OFF, 검사 결과 RETEST 선택. ATE_STATE60, ATE_READY·PLC_LIVE_OK ON, 오류코드0.
LogFilePath는 이번 시험 전용 P04_03_ate.csv.
화면의 전압·상하한 숫자는 이번 수동 판정에 사용하지 않음.</t>
    <phoneticPr fontId="6" type="noConversion"/>
  </si>
  <si>
    <t>약19.73초. 검사응답대기60→RETEST 게이트대기83→배출90→대기10 확인.
RETEST 명령 ON 후 도달 ON, PASS·FAIL OFF. TOTAL1/RETEST1/기타0. 복귀 후 약11초간 영상에서 추가 운전·계수 없음.</t>
    <phoneticPr fontId="6" type="noConversion"/>
  </si>
  <si>
    <t>완료 후 상태10/Auto0/단발.
TOTAL1/PASS0/FAIL0/RETEST1, 수락결과RETEST, 알람0. 영상 이후에도 수량 유지.</t>
    <phoneticPr fontId="6" type="noConversion"/>
  </si>
  <si>
    <t>LS D00100=10/D00102=3/D00024=1/D00029=1/D00022=0/D00053=0/D00310=0. D00300~D00307=1/0/0/0/0/0/1/0으로 TOTAL·RETEST의 32비트 누계1, PASS·FAIL 0 확인.</t>
    <phoneticPr fontId="6" type="noConversion"/>
  </si>
  <si>
    <t>헤더1행+데이터1행, 각 행9필드.
request_id=accepted_id=1/MANUAL/결과3.
전압·하한·상한 세 필드 공란.
captured_utc=10:37:22Z, accepted_utc=10:37:24Z(한국시각19:37:22/19:37:24).</t>
    <phoneticPr fontId="6" type="noConversion"/>
  </si>
  <si>
    <t>최근결과1행, 요청ID1/수락ID1/결과래치3 RETEST/MANUAL.
전압·판정범위는 -- 표시.
상태10·요청0, TOTAL1/RETEST1/기타0으로 원본 CSV·LS와 일치.</t>
    <phoneticPr fontId="6" type="noConversion"/>
  </si>
  <si>
    <t>최근결과1행, 요청ID1/수락ID1/결과래치2 FAIL/AUTO2900mV/범위3000~3600.
상태10·요청0, TOTAL1/FAIL1/기타0으로 원본 CSV·LS와 일치.</t>
    <phoneticPr fontId="6" type="noConversion"/>
  </si>
  <si>
    <t>RUN20261017-01-AE02-A01</t>
  </si>
  <si>
    <t>AE02_03_ate.csv</t>
  </si>
  <si>
    <t>AE02 독립 실행 안에서 하한3000mV·상한3600mV 제품을 순서대로 검사.
AutoVoltage ON, 기준3000~3600mV에서 두 경계값 모두 PASS 판정.
두 검사 모두 PASS 게이트 명령·도달 ON, FAIL·RETEST 미동작 및 배출 후 대기10 복귀 확인.
각 완료 후 알람0·제품 모델 D01200=0·단발 D01220=0 확인.
영상 종료까지 추가 운전·계수 없으며 후속 사진에서도 수량·ID 유지.</t>
    <phoneticPr fontId="6" type="noConversion"/>
  </si>
  <si>
    <t>TOTAL 0→1→2 / PASS 0→1→2 / FAIL 0 유지 / RETEST 0 유지.
CSV 데이터2행(헤더 제외), 두 행 모두 AUTO·기준3000~3600·결과1.
3000mV의 request_id=accepted_id=1, 3600mV의 request_id=accepted_id=2.
최종 D00024=D00029=2, D00102=1, D00022=0, D00053=0.</t>
    <phoneticPr fontId="6" type="noConversion"/>
  </si>
  <si>
    <t>AE02_00_before.png</t>
  </si>
  <si>
    <t>06_TEST\04_EVIDENCE\RUN-20261017-01\screens\AE02_00_before.png</t>
  </si>
  <si>
    <t>AE02_01_3000_ate_settings.png</t>
  </si>
  <si>
    <t>06_TEST\04_EVIDENCE\RUN-20261017-01\screens\AE02_01_3000_ate_settings.png</t>
  </si>
  <si>
    <t>AE02_01_3000_cycle.mp4</t>
  </si>
  <si>
    <t>06_TEST\04_EVIDENCE\RUN-20261017-01\video\AE02_01_3000_cycle.mp4</t>
  </si>
  <si>
    <t>AE02_01_3000_result1.png</t>
  </si>
  <si>
    <t>06_TEST\04_EVIDENCE\RUN-20261017-01\screens\AE02_01_3000_result1.png</t>
  </si>
  <si>
    <t>AE02_01_3000_result2.png</t>
  </si>
  <si>
    <t>06_TEST\04_EVIDENCE\RUN-20261017-01\screens\AE02_01_3000_result2.png</t>
  </si>
  <si>
    <t>AE02_02_3600_ate_settings.png</t>
  </si>
  <si>
    <t>06_TEST\04_EVIDENCE\RUN-20261017-01\screens\AE02_02_3600_ate_settings.png</t>
  </si>
  <si>
    <t>AE02_02_3600_cycle.mp4</t>
  </si>
  <si>
    <t>06_TEST\04_EVIDENCE\RUN-20261017-01\video\AE02_02_3600_cycle.mp4</t>
  </si>
  <si>
    <t>AE02_02_3600_result1.png</t>
  </si>
  <si>
    <t>06_TEST\04_EVIDENCE\RUN-20261017-01\screens\AE02_02_3600_result1.png</t>
  </si>
  <si>
    <t>AE02_02_3600_result2.png</t>
  </si>
  <si>
    <t>06_TEST\04_EVIDENCE\RUN-20261017-01\screens\AE02_02_3600_result2.png</t>
  </si>
  <si>
    <t>3600mV 제품 완료·수거 후 D01200=0 및 D01220=0 확인. 빈 모델·단발 설정 유지.</t>
  </si>
  <si>
    <t>06_TEST\04_EVIDENCE\RUN-20261017-01\csv\AE02_03_ate.csv</t>
  </si>
  <si>
    <t>AE02_04_inspection.png</t>
  </si>
  <si>
    <t>06_TEST\04_EVIDENCE\RUN-20261017-01\screens\AE02_04_inspection.png</t>
  </si>
  <si>
    <t>하한 전압 설정: AutoVoltage ON, 가상전압3000mV/하한3000/상한3600.
ATE_STATE60, ATE_READY·PLC_LIVE_OK ON, 오류코드0.
AE02 전용 CSV 경로 확인.</t>
    <phoneticPr fontId="6" type="noConversion"/>
  </si>
  <si>
    <t>약19.87초. 검사응답60→PASS 게이트81→배출90→대기10 확인.
PASS 명령 ON 후 도달 ON, FAIL·RETEST OFF.
TOTAL·PASS 각각0→1.
복귀 후 약11초간 영상 종료까지 추가 운전·계수 없음.</t>
    <phoneticPr fontId="6" type="noConversion"/>
  </si>
  <si>
    <t>3000mV 완료 후 LS D00100=10/D00102=1/D00024=1/D00029=1/D00022=0/D00053=0/D00310=0.
D00300~D00307=1/0/1/0/0/0/0/0으로 TOTAL·PASS의32비트 누계1, FAIL·RETEST 0 확인.</t>
    <phoneticPr fontId="6" type="noConversion"/>
  </si>
  <si>
    <t>3000mV 제품 완료·수거 후 D01200=0 및 D01220=0 확인.
다음 제품 시작 전 빈 모델·단발 설정 확인.</t>
    <phoneticPr fontId="6" type="noConversion"/>
  </si>
  <si>
    <t>상한 시험 설정: AutoVoltage ON, 가상전압3600mV/하한3000/상한3600.
ATE_STATE60, ATE_READY·PLC_LIVE_OK ON, 오류코드0.
이전3000mV의 ACTIVE_RECORD와 동일 CSV 경로 유지 확인.</t>
    <phoneticPr fontId="6" type="noConversion"/>
  </si>
  <si>
    <t>약20.07초. 검사응답60→PASS 게이트81→배출90→게이트복귀100→대기10 확인.
PASS 명령 ON 후 도달 ON, FAIL·RETEST OFF. TOTAL·PASS 각각1→2.
복귀 후 약11초간 영상 종료까지 추가 운전·계수 없음.</t>
    <phoneticPr fontId="6" type="noConversion"/>
  </si>
  <si>
    <t>3600mV 완료 후 LS D00100=10/D00102=1/D00024=2/D00029=2/D00022=0/D00053=0/D00310=0.
D00300~D00307=2/0/2/0/0/0/0/0으로 TOTAL·PASS의32비트 누계2, FAIL·RETEST 0 확인.</t>
    <phoneticPr fontId="6" type="noConversion"/>
  </si>
  <si>
    <t>헤더1행+데이터2행, 각 행9필드.
1행 AUTO3000/기준3000~3600/결과1/요청ID=수락ID=1.
2행 AUTO3600/동일기준/결과1/요청ID=수락ID=2.
수락UTC10:59:58Z·11:03:19Z는 한국시각19:59:58·20:03:19.</t>
    <phoneticPr fontId="6" type="noConversion"/>
  </si>
  <si>
    <t>AE02 전용 CSV 조회 결과2건.
최신순으로 ID2/AUTO3600/PASS, ID1/AUTO3000/PASS 표시.
현재 요청ID2/수락ID2/결과래치1 PASS, 상태10·요청0, TOTAL2/PASS2/FAIL0/RETEST0으로 CSV·LS와 일치.</t>
    <phoneticPr fontId="6" type="noConversion"/>
  </si>
  <si>
    <t>RUN20261017-01-AE05-A01</t>
  </si>
  <si>
    <t>AE05_01_ate.csv</t>
  </si>
  <si>
    <t>AE05 독립 실행에서 AUTO3300 PASS→AUTO2900 FAIL→MANUAL RETEST→AUTO3000 PASS→AUTO3600 PASS의5건 생성 확인.
최근5건이 최신순 ID5→1로 표시되고 MANUAL의 전압·범위는 --로 표시됨.
동일 CSV 반복 조회 시 조회시각은 갱신되지만 목록5행·요청ID·수락ID·생산량은 유지됨.
INSP_VALID=1/INSP_ERROR=0/INSP_ROWS=5 확인.
조회 전 사본과 현재 원본의 바이트 내용·SHA-256이 동일함.
최종 상태10·알람0·제품 모델0·단발0 확인.</t>
    <phoneticPr fontId="6" type="noConversion"/>
  </si>
  <si>
    <t>TOTAL 0→5 / PASS 0→3 / FAIL 0→1 / RETEST 0→1. CSV 헤더1행+데이터5행, 각 행9필드.
요청ID1~5가 각1행이며 모든 request_id=accepted_id.
결과코드1/2/3/1/1, MANUAL 행의 전압·하한·상한 공란.
반복 조회 후 CSV5행·누계5/3/1/1 유지.
최종 D00024=D00029=5, D00102=1, D00022=0.</t>
    <phoneticPr fontId="6" type="noConversion"/>
  </si>
  <si>
    <t>AE05_00_before.png</t>
  </si>
  <si>
    <t>06_TEST\04_EVIDENCE\RUN-20261017-01\screens\AE05_00_before.png</t>
  </si>
  <si>
    <t>06_TEST\04_EVIDENCE\RUN-20261017-01\csv\AE05_01_ate.csv</t>
  </si>
  <si>
    <t>AE05_01_before_reload.csv</t>
  </si>
  <si>
    <t>06_TEST\04_EVIDENCE\RUN-20261017-01\csv\AE05_01_before_reload.csv</t>
  </si>
  <si>
    <t>AE05_02_first_load.png</t>
  </si>
  <si>
    <t>06_TEST\04_EVIDENCE\RUN-20261017-01\screens\AE05_02_first_load.png</t>
  </si>
  <si>
    <t>AE05_03_repeat_load.png</t>
  </si>
  <si>
    <t>06_TEST\04_EVIDENCE\RUN-20261017-01\screens\AE05_03_repeat_load.png</t>
  </si>
  <si>
    <t>AE05_04_tags.png</t>
  </si>
  <si>
    <t>06_TEST\04_EVIDENCE\RUN-20261017-01\screens\AE05_04_tags.png</t>
  </si>
  <si>
    <t>AE05_05_ls_result1.png</t>
  </si>
  <si>
    <t>06_TEST\04_EVIDENCE\RUN-20261017-01\screens\AE05_05_ls_result1.png</t>
  </si>
  <si>
    <t>AE05_05_ls_result2.png</t>
  </si>
  <si>
    <t>06_TEST\04_EVIDENCE\RUN-20261017-01\screens\AE05_05_ls_result2.png</t>
  </si>
  <si>
    <t>AE05_06_reload.mp4</t>
  </si>
  <si>
    <t>06_TEST\04_EVIDENCE\RUN-20261017-01\video\AE05_06_reload.mp4</t>
  </si>
  <si>
    <t>428바이트. 헤더1행+데이터5행, 각 행9필드.
ID1 AUTO3300/PASS, ID2 AUTO2900/FAIL, ID3 MANUAL/RETEST, ID4 AUTO3000/PASS, ID5 AUTO3600/PASS.
모든 요청ID=수락ID, 중복ID 없음.
MANUAL의 전압·하한·상한 공란.
수락UTC11:54:57~11:55:55Z는 한국시각20:54:57~20:55:55.</t>
    <phoneticPr fontId="6" type="noConversion"/>
  </si>
  <si>
    <t>조회 전 보존 사본.
복사본 생성시각 기준.
현재 원본과428바이트 전체 내용 및 SHA-256 동일.
공통 SHA-256=08be015ec3d25d35b963715ff0161d095bd788b7536717d9d314866194f19dd3.</t>
    <phoneticPr fontId="6" type="noConversion"/>
  </si>
  <si>
    <t>최초 조회 화면의 조회시각20:57:18.
최근5행이 ID5 AUTO3600 PASS→ID4 AUTO3000 PASS→ID3 MANUAL -- RETEST→ID2 AUTO2900 FAIL→ID1 AUTO3300 PASS 순서.
상태10·요청0·요청ID=수락ID5·결과1, 생산량5/3/1/1 확인.</t>
    <phoneticPr fontId="6" type="noConversion"/>
  </si>
  <si>
    <t>반복 조회 후 조회시각20:58:09로 갱신.
최근5행의 순서·내용 유지, 중복 표시 없음.
요청ID=수락ID5·결과1, 생산량5/3/1/1로 최초 조회와 동일.</t>
    <phoneticPr fontId="6" type="noConversion"/>
  </si>
  <si>
    <t>CIMON 데이터베이스 현재값 INSP_ERROR=0/INSP_VALID=1/INSP_ROWS=5 확인.
조회 정상·전체 기록5건 확인.</t>
    <phoneticPr fontId="6" type="noConversion"/>
  </si>
  <si>
    <t>최종 LS D00100=10/D00102=1/D00024=5/D00029=5/D00022=0/D00053=0/D00310=0. D00300~D00307=5/0/3/0/1/0/1/0으로32비트 누계 TOTAL5/PASS3/FAIL1/RETEST1 확인.
반복 조회 이후에도 누계 유지.</t>
    <phoneticPr fontId="6" type="noConversion"/>
  </si>
  <si>
    <t>최종 D01200=0 및 D01220=0 확인.
제품 모델이 빈 상태이고 단발 설정 유지.</t>
    <phoneticPr fontId="6" type="noConversion"/>
  </si>
  <si>
    <t>약19.90초. 동일 CSV 반복 조회로 조회시각20:59:05→08→13→15→16 갱신 확인.
최신순 ID5~1의5행과 MANUAL -- 표시 유지.
상태10·요청0·요청ID=수락ID5·결과1·생산량5/3/1/1이 영상 종료까지 유지.
마지막 조회 갱신 후 약7초 관찰.</t>
    <phoneticPr fontId="6" type="noConversion"/>
  </si>
  <si>
    <t>RUN20261017-01-P05-A01</t>
  </si>
  <si>
    <t>P05_06_mode_count_reset.mp4</t>
  </si>
  <si>
    <t>ISS-P05-01</t>
  </si>
  <si>
    <t>TOTAL/PASS/FAIL/RETEST 3/1/1/1→0/0/0/0.
CSV 헤더1행+데이터3행, 요청ID=수락ID1~3. LS 요청·수락ID는 초기3→최종4.
최종 D00053=0/D00100=10/D00022=0/D00310=0/D01200=0/D01220=0.</t>
    <phoneticPr fontId="6" type="noConversion"/>
  </si>
  <si>
    <t>Auto에서 수량 초기화 명령 후 누계 유지 확인.
Manual에서 상태10·출력OFF·누계 유지 관측 후 수량 초기화로 전체 누계0 확인.
Auto 복원 후 영상 종료까지 대기·누계0 유지.
CSV 이력3건 보존 및 초기화 전 사본과 바이트 내용 동일 확인.
시험 준비 중 Manual로 전환하기 전에 Auto 상태에서 START를 잘못 눌러 추가 검사 1건이 실행되었고 요청·수락ID가4로 증가했다.
영상 촬영 전에 해당 CSV 행을 수동 삭제하고 TOTAL=3·RETEST=1로 복원했다(복원값은 시험자 기억 기준).
ID4는 그대로 남았다.
이후 영상의 Manual START 차단·수량 초기화·Auto 복원 시험은 정상적으로 수행했다.
ID4는 Manual START로 생성된 값이 아니다.
CSV 보존 판정은 수동 정리 후 남은 기준 이력3건이 수량 초기화 후에도 유지된 범위로 한정한다.</t>
    <phoneticPr fontId="6" type="noConversion"/>
  </si>
  <si>
    <t>ISS-P05-01</t>
    <phoneticPr fontId="6" type="noConversion"/>
  </si>
  <si>
    <t>Manual D00053=1에서 START를 눌러도 새 공정·검사 요청이 생성되지 않고 요청·수락ID가 유지되어야 함.</t>
  </si>
  <si>
    <t>초기 요청·수락ID3, Manual 시험 이후4 확인. 사용자 확인상 Manual START 후 증가. 관측 화면에서는 상태10·누계3/1/1/1 유지. CSV에는 ID1~3만 존재.</t>
  </si>
  <si>
    <t>P05 검토 불일치 / 별도 오류번호 없음</t>
  </si>
  <si>
    <t>미수정 / BL-001 유지</t>
  </si>
  <si>
    <t>Manual START 직전·직후의 D00053/D00100/D00022/D00024/D00029를 같은 영상으로 비교하는 재시험 필요. 기존 A01 증거 보존.</t>
  </si>
  <si>
    <t>시험 준비 중 Auto START 오조작 및 수동 복원</t>
    <phoneticPr fontId="6" type="noConversion"/>
  </si>
  <si>
    <t>종료</t>
  </si>
  <si>
    <t>P05_01_ate.csv</t>
  </si>
  <si>
    <t>06_TEST\04_EVIDENCE\RUN-20261017-01\csv\P05_01_ate.csv</t>
  </si>
  <si>
    <t>P05_01_before_reset.csv</t>
  </si>
  <si>
    <t>06_TEST\04_EVIDENCE\RUN-20261017-01\csv\P05_01_before_reset.csv</t>
  </si>
  <si>
    <t>P05_01_before.png</t>
  </si>
  <si>
    <t>06_TEST\04_EVIDENCE\RUN-20261017-01\screens\P05_01_before.png</t>
  </si>
  <si>
    <t>P05_02_auto_rejected.png</t>
  </si>
  <si>
    <t>06_TEST\04_EVIDENCE\RUN-20261017-01\screens\P05_02_auto_rejected.png</t>
  </si>
  <si>
    <t>P05_03_manual_start.png</t>
  </si>
  <si>
    <t>06_TEST\04_EVIDENCE\RUN-20261017-01\screens\P05_03_manual_start.png</t>
  </si>
  <si>
    <t>P05_03_manual_ready.png</t>
  </si>
  <si>
    <t>06_TEST\04_EVIDENCE\RUN-20261017-01\screens\P05_03_manual_ready.png</t>
  </si>
  <si>
    <t>M워드6의 표시값에서 M00063=1 확인. 수량 초기화 허용 조건 확인용 증거.</t>
  </si>
  <si>
    <t>P05_04_count_reset.png</t>
  </si>
  <si>
    <t>06_TEST\04_EVIDENCE\RUN-20261017-01\screens\P05_04_count_reset.png</t>
  </si>
  <si>
    <t>Manual1·상태10·요청0·알람0에서 D00300~D00307 전체0 확인. 요청ID=수락ID4, 결과 래치3 유지.</t>
  </si>
  <si>
    <t>P05_05_auto_restored.png</t>
  </si>
  <si>
    <t>06_TEST\04_EVIDENCE\RUN-20261017-01\screens\P05_05_auto_restored.png</t>
  </si>
  <si>
    <t>D00053=0으로 Auto 복원. 상태10·요청0·알람0·전체 누계0, 요청ID=수락ID4 확인.</t>
  </si>
  <si>
    <t>P05_05_model.png</t>
  </si>
  <si>
    <t>06_TEST\04_EVIDENCE\RUN-20261017-01\screens\P05_05_model.png</t>
  </si>
  <si>
    <t>D01200=0/D01210=0/D01220=0 확인. 제품 모델이 빈 상태이고 단발 설정 유지.</t>
  </si>
  <si>
    <t>06_TEST\04_EVIDENCE\RUN-20261017-01\video\P05_06_mode_count_reset.mp4</t>
  </si>
  <si>
    <t>P05_07_history.png</t>
  </si>
  <si>
    <t>06_TEST\04_EVIDENCE\RUN-20261017-01\screens\P05_07_history.png</t>
  </si>
  <si>
    <t>검토 시점 현재 CSV. 데이터3행·각9필드.
ID1=AUTO3300/PASS, ID2=AUTO2900/FAIL, ID3=MANUAL/RETEST이며 모든 request_id=accepted_id. MANUAL 전압·하한·상한 공란.
초기화 전 사본과 바이트 내용 동일.</t>
    <phoneticPr fontId="6" type="noConversion"/>
  </si>
  <si>
    <t>초기 CIMON 상태10·Auto0·단발·알람0. 운전 조건4개ON.
누계 TOTAL3/PASS1/FAIL1/RETEST1, 수락 결과RETEST 확인.</t>
    <phoneticPr fontId="6" type="noConversion"/>
  </si>
  <si>
    <t>초기화 거부 확인 화면.
상태10·요청0·요청ID=수락ID3, 누계3/1/1/1 유지.
CSV 이력3행 확인.
Auto 설정과 초기화 명령 조작은 영상으로 보완.</t>
    <phoneticPr fontId="6" type="noConversion"/>
  </si>
  <si>
    <t>약485.83초.
Auto에서 M00204 ON→OFF 후 누계3/1/1/1 유지, Manual 초기화 후 전체0 확인.
약430초 Auto0 확인 후 종료 화면에서도 상태10·누계0 유지.
ID3→4 변화 순간은 확인되지 않음.(준비 중 Auto 오조작의 잔존값)</t>
    <phoneticPr fontId="6" type="noConversion"/>
  </si>
  <si>
    <t>D00053=1/D00100=10/D00022=0/D00310=0.
누계3/1/1/1 유지.
D00024=D00029=4로 초기 ID3과 차이 확인.
ID4는 준비 중 Auto 오조작의 잔존값</t>
    <phoneticPr fontId="6" type="noConversion"/>
  </si>
  <si>
    <t>수량 초기화 후 전체 누계0이지만 과거 CSV 이력3건은 최신순 ID3/2/1로 유지.
현재 요청ID=수락ID4와 CSV 마지막 ID3의 차이는 ISS-P05-01로 추적.</t>
    <phoneticPr fontId="6" type="noConversion"/>
  </si>
  <si>
    <t>초기화 전 보존 사본. 사본 생성시각 기준으로 기록.
ID1~3의 검사 이력3행이며 현재 P05_01_ate.csv와 내용 동일.
수동 정리 후 기준 3행 보존.</t>
    <phoneticPr fontId="6" type="noConversion"/>
  </si>
  <si>
    <t>RUN20261017-01-P06-A01</t>
  </si>
  <si>
    <t>P06_01_continuous.mp4</t>
  </si>
  <si>
    <t>연속 START1회로4제품 자동 완료 확인.
4번째 제품의 상태30·누계3에서 단발 선택 후 현재 제품만 완료하여 누계4에서 대기.
연속 재선택 후20초 이상 상태10·누계4·운전기억0 유지 확인.
새 START로 재개한 제품도 상태30에서 단발 선택하여 누계5로 정상 종료.
최초 연속 선택 후20초 대기는 영상에 없으며 시험자가 별도로 무변화를 확인.
준비 중 LabVIEW 미실행 상태의 START1회로 요청ID1이 먼저 발생 반영.
연속 선택값1·운전기억0인데 단발 색이 유지되는 표시 개선 사항은 별도 메모.</t>
    <phoneticPr fontId="6" type="noConversion"/>
  </si>
  <si>
    <t>TOTAL 0→5/PASS 0→5/FAIL0/RETEST0.
첫 단발 전환 C=3→완료4, 재개 후4→5.
CSV 헤더1행+데이터5행·각9필드, ID2~6이 각1행이며 모든 request_id=accepted_id.
전부 AUTO3300mV·범위3000~3600·결과1.
최종 D00024=D00029=6/D00053=0/D00100=10/D00022=0/D00310=0/D01200=0/D01220=0/M02100=0.</t>
    <phoneticPr fontId="6" type="noConversion"/>
  </si>
  <si>
    <t>P06_01_ate.csv</t>
  </si>
  <si>
    <t>06_TEST\04_EVIDENCE\RUN-20261017-01\csv\P06_01_ate.csv</t>
  </si>
  <si>
    <t>P06_00_ready.png</t>
  </si>
  <si>
    <t>06_TEST\04_EVIDENCE\RUN-20261017-01\screens\P06_00_ready.png</t>
  </si>
  <si>
    <t>06_TEST\04_EVIDENCE\RUN-20261017-01\video\P06_01_continuous.mp4</t>
  </si>
  <si>
    <t>P06_02_stopped.png</t>
  </si>
  <si>
    <t>06_TEST\04_EVIDENCE\RUN-20261017-01\screens\P06_02_stopped.png</t>
  </si>
  <si>
    <t>P06_03_reselected.png</t>
  </si>
  <si>
    <t>06_TEST\04_EVIDENCE\RUN-20261017-01\screens\P06_03_reselected.png</t>
  </si>
  <si>
    <t>P06_04_final_ls.png</t>
  </si>
  <si>
    <t>06_TEST\04_EVIDENCE\RUN-20261017-01\screens\P06_04_final_ls.png</t>
  </si>
  <si>
    <t>P06_04_model.png</t>
  </si>
  <si>
    <t>06_TEST\04_EVIDENCE\RUN-20261017-01\screens\P06_04_model.png</t>
  </si>
  <si>
    <t>P06_05_history.png</t>
  </si>
  <si>
    <t>06_TEST\04_EVIDENCE\RUN-20261017-01\screens\P06_05_history.png</t>
  </si>
  <si>
    <t>헤더1행+데이터5행·각9필드.
ID2~6 각1행, 모든 request_id=accepted_id.
전부 AUTO3300mV/하한3000/상한3600/PASS1.
수락 KST23:18:06·14·23·31 및23:20:21.
요청ID1의 선행 발생 경위는 시험자 설명으로 기록.</t>
    <phoneticPr fontId="6" type="noConversion"/>
  </si>
  <si>
    <t>시작 상태10·Auto0·알람0·운전조건4개ON.
전체 누계0/0/0/0, 공정 출력OFF 확인.</t>
    <phoneticPr fontId="6" type="noConversion"/>
  </si>
  <si>
    <t>약161.4초.
최초 연속 선택→START는 약2초. 연속4제품 완료 및 배출 감지ON 구간 대기 후 다음 제품 시작 확인.
약31초 상태30·누계3에서 단발 선택→누계4로 종료. 재선택 후20초 이상 무기동, 새 START 후 상태30에서 단발 선택→누계5 종료 확인.
최종 배출 감지OFF 후 영상 관측은 약12초. 최초20초 대기는 영상 외 시험자 확인으로 구분.</t>
    <phoneticPr fontId="6" type="noConversion"/>
  </si>
  <si>
    <t>첫 단발 전환 후 상태10·Auto0·알람0·모든 공정 출력OFF.
누계 TOTAL4/PASS4/FAIL0/RETEST0 확인.</t>
    <phoneticPr fontId="6" type="noConversion"/>
  </si>
  <si>
    <t>연속 재선택 상태 CYCLE_MODE=1/CYCLE_CONT_RUN=0을 데이터베이스에서 확인.
상태10·누계4 유지.
실제 선택값은 연속이지만 단발 버튼 색이 남아 있어 표시 조건 개선 대상으로 기록.</t>
    <phoneticPr fontId="6" type="noConversion"/>
  </si>
  <si>
    <t>최종 D00053=0/D00100=10/D00022=0/D00024=D00029=6/D00102=1/D00310=0.
D00300~D00307=5/0/5/0/0/0/0/0으로32비트 누계 TOTAL5/PASS5/FAIL0/RETEST0 확인.</t>
    <phoneticPr fontId="6" type="noConversion"/>
  </si>
  <si>
    <t>D01200=0·D01220=0 확인.
M0210워드 하위비트0100으로 M02100=0·M02102=1 확인.
제품 모델이 비어 있고 단발 설정·반복 요청 해제 상태.</t>
    <phoneticPr fontId="6" type="noConversion"/>
  </si>
  <si>
    <t>상태10·요청0·요청ID=수락ID6·수락결과PASS·누계5/5/0/0 확인.
P06 CSV의 최근5건이 최신순 ID6/5/4/3/2로 표시되고 전부 AUTO3300mV·범위3000~3600·PASS로 일치.</t>
    <phoneticPr fontId="6" type="noConversion"/>
  </si>
  <si>
    <t>RUN20261017-01-P07-A01</t>
  </si>
  <si>
    <t>P07_00_stop_recovery.mp4</t>
  </si>
  <si>
    <t>ISS-P07-01, ISS-P07-02</t>
  </si>
  <si>
    <t>상태30에서 공정 STOP 후 상태900·알람2·공정 출력OFF·누계0 유지 확인.
STOP 해제 후20초 이상 자동 재개 없음.
ACK 후 부저만OFF되고 상태900·알람2 유지.
M02003 모델 정리 명령의 ON→OFF 조작과 이후에도 알람이 유지되는 것 확인.
RESET 후 상태10·알람0으로 복구되고 환경 허가ON인 구간에서34초 이상 무기동 확인.
과거 이력에 알람2 발생·확인·해제 기록 보존 확인.
STOP·ACK·모델 정리 명령·RESET·복구 후 무기동·알람 이력 보존은 확인.
STOP 직후 D01200 잔류값은 직접 확인하지 못했으며, 시험자가 추가 검증을 생략하고 이 미검증 사항을 수용.
P07은 해당 항목을 제외한 확인 범위에서 합격으로 판정.</t>
    <phoneticPr fontId="6" type="noConversion"/>
  </si>
  <si>
    <t>TOTAL/PASS/FAIL/RETEST 모두0→0.
검사 수락 전 중단으로 P07 CSV 미생성, 수락 기록0건.
STOP 후 및 최종 D00024=D00029=0. LabVIEW는 PLC 알람 또는 운전 불가로 오류5003 종료.
최종 D00020~29=0/D00053=0/D00100=10/D00310=0/D01200=0/D01220=0/M02100=0 확인.</t>
    <phoneticPr fontId="6" type="noConversion"/>
  </si>
  <si>
    <t>P07_00_ready.png</t>
  </si>
  <si>
    <t>06_TEST\04_EVIDENCE\RUN-20261017-01\screens\P07_00_ready.png</t>
  </si>
  <si>
    <t>시작 상태10·Auto0·알람0·공정 출력OFF·운전 조건4개ON. 전체 누계0/0/0/0 확인.</t>
  </si>
  <si>
    <t>06_TEST\04_EVIDENCE\RUN-20261017-01\video\P07_00_stop_recovery.mp4</t>
  </si>
  <si>
    <t>P07_01_stop.png</t>
  </si>
  <si>
    <t>06_TEST\04_EVIDENCE\RUN-20261017-01\screens\P07_01_stop.png</t>
  </si>
  <si>
    <t>P07_01_model.png</t>
  </si>
  <si>
    <t>06_TEST\04_EVIDENCE\RUN-20261017-01\screens\P07_01_model.png</t>
  </si>
  <si>
    <t>P07_02_ack.png</t>
  </si>
  <si>
    <t>06_TEST\04_EVIDENCE\RUN-20261017-01\screens\P07_02_ack.png</t>
  </si>
  <si>
    <t>P07_03_model_clear.png</t>
  </si>
  <si>
    <t>06_TEST\04_EVIDENCE\RUN-20261017-01\screens\P07_03_model_clear.png</t>
  </si>
  <si>
    <t>P07_03_model_clear_model.png</t>
  </si>
  <si>
    <t>06_TEST\04_EVIDENCE\RUN-20261017-01\screens\P07_03_model_clear_model.png</t>
  </si>
  <si>
    <t>P07_04_alarm_before_reset.png</t>
  </si>
  <si>
    <t>06_TEST\04_EVIDENCE\RUN-20261017-01\screens\P07_04_alarm_before_reset.png</t>
  </si>
  <si>
    <t>P07_07_ate_error.png</t>
  </si>
  <si>
    <t>06_TEST\04_EVIDENCE\RUN-20261017-01\screens\P07_07_ate_error.png</t>
  </si>
  <si>
    <t>P07_05_recovery.png</t>
  </si>
  <si>
    <t>06_TEST\04_EVIDENCE\RUN-20261017-01\screens\P07_05_recovery.png</t>
  </si>
  <si>
    <t>RESET 복구 후 상태10·Auto0·알람0·부저OFF·공정 출력OFF·운전 조건4개ON·전체 누계0 확인.</t>
  </si>
  <si>
    <t>P07_05_ls.png</t>
  </si>
  <si>
    <t>06_TEST\04_EVIDENCE\RUN-20261017-01\screens\P07_05_ls.png</t>
  </si>
  <si>
    <t>P07_05_model.png</t>
  </si>
  <si>
    <t>06_TEST\04_EVIDENCE\RUN-20261017-01\screens\P07_05_model.png</t>
  </si>
  <si>
    <t>P07_06_alarm_after_reset.png</t>
  </si>
  <si>
    <t>06_TEST\04_EVIDENCE\RUN-20261017-01\screens\P07_06_alarm_after_reset.png</t>
  </si>
  <si>
    <t>약631.63초. 상태30에서 STOP→900/알람2/출력OFF, STOP 해제 후20초 이상 유지, ACK 후 부저만OFF 확인.
M02003 ON→OFF 후 상태900·알람2 유지.
RESET 후 환경 허가ON인 상태에서34초 이상 무기동 확인.
모델 정리 직전 D01200 잔류값은 노출되지 않음.
환경 중계107·108 및 재시작 장면도 포함.</t>
    <phoneticPr fontId="6" type="noConversion"/>
  </si>
  <si>
    <t>STOP 후 상태900·알람2·부저ON·공정 출력OFF·누계0/0/0/0 확인.
안전 보조신호·문·환경 허가ON.</t>
    <phoneticPr fontId="6" type="noConversion"/>
  </si>
  <si>
    <t>D01200=0·D01220=1·M02100=0 표시.
복구 자료 이후 저장된 사진으로 STOP 직후 모델10 잔류를 입증하는 자료는 아님.</t>
    <phoneticPr fontId="6" type="noConversion"/>
  </si>
  <si>
    <t>ACK 후 부저OFF.
상태900·알람2·출력OFF·전체 누계0은 유지되어 ACK가 공정 복구 명령이 아님을 확인.</t>
    <phoneticPr fontId="6" type="noConversion"/>
  </si>
  <si>
    <t>모델 정리 명령 이후에도 상태900·알람2·부저OFF·누계0 유지.
이 시점 환경 시작 허가는OFF로 표시됨.</t>
    <phoneticPr fontId="6" type="noConversion"/>
  </si>
  <si>
    <t>모니터 화면에 D01200·D01210·D01220이0으로 표시된 참고 사진.
페이지 전환 직후 미갱신 표시 가능성이 있어 모델·설정 확정 근거로 사용하지 않음.
영상의 이후 갱신 화면에서는 D01200=0·D01210=5·D01220=1 확인.</t>
    <phoneticPr fontId="6" type="noConversion"/>
  </si>
  <si>
    <t>현재 PLC 알람2 및15:44:09 경보발생 행 확인.
RESET 전 알람이 남아 있음.</t>
    <phoneticPr fontId="6" type="noConversion"/>
  </si>
  <si>
    <t>LabVIEW 오류5003, source PLC 알람 또는 운전 불가, 처리 메시지 VirtualATE: PLC 알람 또는 운전 불가.
ACTIVE_ID0·ACTIVE_RESULT0·ACTIVE_RECORD빈칸.
P07_01_ate.csv 지정 경로 확인.</t>
    <phoneticPr fontId="6" type="noConversion"/>
  </si>
  <si>
    <t>D00020~29 모두0·D00053=0·D00100=D00101=10·D00102=0·D00300~307 모두0·D00310=0 확인.
수락 및 완료 계수 없이 복구된 상태.</t>
    <phoneticPr fontId="6" type="noConversion"/>
  </si>
  <si>
    <t>D01200=0·D01220=0·M02100=0 확인.
최종 모델 비움·단발 복원·연속 운전 기억 해제 상태.</t>
    <phoneticPr fontId="6" type="noConversion"/>
  </si>
  <si>
    <t>현재 알람0에서 과거 이력 조회.
ALARM.ALM_002의15:44:09 발생·15:45:16 경보인식·15:48:27 경보해제·15:52:39 경보인식 기록 확인.
복구 후에도 발생 이력이 보존됨.</t>
    <phoneticPr fontId="6" type="noConversion"/>
  </si>
  <si>
    <t>ISS-P07-01</t>
  </si>
  <si>
    <t>상태30 STOP 후 중단 제품 모델이 남아 있고 M02003 모델 정리 후에만0이 되어야 함.</t>
  </si>
  <si>
    <t>모델 정리 명령 조작과 이후 모델0은 확인됐으나 STOP 직후·정리 직전 모델값은 확인되지 않음.</t>
  </si>
  <si>
    <t>시험 증거 미확인 / PLC 결함 여부 미확정</t>
  </si>
  <si>
    <t>코드 변경 없음 / BL-001 유지. STOP 직후와 모델 정리 후의 D01200을 보완 확인.</t>
  </si>
  <si>
    <t>STOP·ACK·RESET·알람 이력 보존은 확인 완료. 전체 재시험 대신 모델 잔류와 정리 구간만 보완.</t>
  </si>
  <si>
    <t>ISS-P07-02</t>
  </si>
  <si>
    <t>환경 중계가 정상 실행 중 생존 카운터 갱신을 확인하고 허가 상태를 유지해야 함.</t>
  </si>
  <si>
    <t>영상 중 환경 중계107·108 발생 및 재시작 관측. 허가가 일시 복구됐다가 다시OFF인 구간이 있음.</t>
  </si>
  <si>
    <t>환경 중계107·108</t>
  </si>
  <si>
    <t>환경·센서 중계 재시작 장면 확인. 코드 변경 없음 / BL-001.</t>
  </si>
  <si>
    <t>P07 STOP 동작과 별도 통신 문제로 추적. 정상 지속운전 시험 전에 재발 조건과 원인 확인 필요.</t>
  </si>
  <si>
    <t>제외</t>
  </si>
  <si>
    <t>표시 메시지는 FX D100 카운터3초 미갱신 및 시작 후5초 안에 두 PLC 카운터 변화 미확인.
시험자 보고상 GX Works2 시뮬레이션을 OFF→ON하면 통신이 복구.
체험판·구버전 환경에 기인한 것으로 추정하나 근본 원인은 미확정.
재시작을 운영상 복구 방법으로 사용.</t>
    <phoneticPr fontId="6" type="noConversion"/>
  </si>
  <si>
    <t>모델 사진은 모두0이며 영상에도 정리 직전 D01200 값이 노출되지 않음. 지시 동작 이후 사진을 캡쳐하여 잔류값은 미확인.</t>
    <phoneticPr fontId="6" type="noConversion"/>
  </si>
  <si>
    <t>RUN20261017-01-P08-A01</t>
  </si>
  <si>
    <t>P08_A_held_reset.mp4</t>
  </si>
  <si>
    <t>A(16:23:00~16:37:02): 상태30 비상정지 후 안전OFF·상태0·알람1·출력OFF 및 모델10 잔류 확인.
복귀입력1을 유지한 채 비상정지를 해제해도 재허가되지 않고 새0→1 동작 후 허가만 복귀함.
B(16:42:38~16:46:20): 상태30 문 열림으로 안전 차단, 문만 닫아도 허가OFF 유지, 새 안전 복귀 후 허가ON 확인.
C(16:47:35~16:52:14): 빈 장치에서 모사 고장으로 안전 차단, 고장 해제만으로 재허가되지 않음 확인.
세 경우 모두 안전 복귀 후 상태0·알람1이 유지되고 공정RESET 후10·알람0으로 복구됨.
복구 후 무기동 관측은 A21초 이상/B44초 이상/C약14.7초. 환경 문제는 안전 기능 판정에서 제외.</t>
    <phoneticPr fontId="6" type="noConversion"/>
  </si>
  <si>
    <t>각 소시험 TOTAL/PASS/FAIL/RETEST 모두0→0.
A 모델10 잔류 및 최종0 확인. B 모델 사진은0 표시 참고자료이며 잔류10의 근거로 사용하지 않음.
C는 모델0 유지·제품 START 없음.
P08 CSV 미생성·검사 수락0건.
A/B/C LabVIEW 오류5003과 ACTIVE_ID0·ACTIVE_RESULT0·레코드 빈칸 확인.
A/B 최종 D01200=0/D01220=0/M02100=0.
C 최종 상태10·알람0·출력OFF·누계0.</t>
    <phoneticPr fontId="6" type="noConversion"/>
  </si>
  <si>
    <t>P08_A_00_ready.png</t>
  </si>
  <si>
    <t>06_TEST\04_EVIDENCE\RUN-20261017-01\screens\P08_A_00_ready.png</t>
  </si>
  <si>
    <t>A 시작 상태10·Auto0·알람0·공정 출력OFF·전체 누계0/0/0/0·운전 조건4개ON 확인.</t>
  </si>
  <si>
    <t>06_TEST\04_EVIDENCE\RUN-20261017-01\video\P08_A_held_reset.mp4</t>
  </si>
  <si>
    <t>P08_A_01_estop.png</t>
  </si>
  <si>
    <t>06_TEST\04_EVIDENCE\RUN-20261017-01\screens\P08_A_01_estop.png</t>
  </si>
  <si>
    <t>P08_A_01_model.png</t>
  </si>
  <si>
    <t>06_TEST\04_EVIDENCE\RUN-20261017-01\screens\P08_A_01_model.png</t>
  </si>
  <si>
    <t>D01200=10 확인. 모델 정리 전 중단 제품이 남아 있는 근거.</t>
  </si>
  <si>
    <t>P08_A_01_ate_error.png</t>
  </si>
  <si>
    <t>06_TEST\04_EVIDENCE\RUN-20261017-01\screens\P08_A_01_ate_error.png</t>
  </si>
  <si>
    <t>P08_A_02_held_no_reset.png</t>
  </si>
  <si>
    <t>06_TEST\04_EVIDENCE\RUN-20261017-01\screens\P08_A_02_held_no_reset.png</t>
  </si>
  <si>
    <t>P08_A_03_safety_restored.png</t>
  </si>
  <si>
    <t>06_TEST\04_EVIDENCE\RUN-20261017-01\screens\P08_A_03_safety_restored.png</t>
  </si>
  <si>
    <t>P08_A_04_model_clear.png</t>
  </si>
  <si>
    <t>06_TEST\04_EVIDENCE\RUN-20261017-01\screens\P08_A_04_model_clear.png</t>
  </si>
  <si>
    <t>P08_A_05_recovered.png</t>
  </si>
  <si>
    <t>06_TEST\04_EVIDENCE\RUN-20261017-01\screens\P08_A_05_recovered.png</t>
  </si>
  <si>
    <t>공정RESET 후 상태10·알람0·부저OFF·공정 출력OFF·전체 누계0·운전 조건4개ON 확인.</t>
  </si>
  <si>
    <t>P08_A_05_model.png</t>
  </si>
  <si>
    <t>06_TEST\04_EVIDENCE\RUN-20261017-01\screens\P08_A_05_model.png</t>
  </si>
  <si>
    <t>D01200=0·D01220=0·M02100=0 확인. 모델 비움·단발 복원·연속 운전 기억 해제 상태.</t>
  </si>
  <si>
    <t>P08_B_00_ready.png</t>
  </si>
  <si>
    <t>06_TEST\04_EVIDENCE\RUN-20261017-01\screens\P08_B_00_ready.png</t>
  </si>
  <si>
    <t>B 시작 상태10·Auto0·알람0·출력OFF·전체 누계0·운전 조건4개ON 확인.</t>
  </si>
  <si>
    <t>P08_B_door.mp4</t>
  </si>
  <si>
    <t>06_TEST\04_EVIDENCE\RUN-20261017-01\video\P08_B_door.mp4</t>
  </si>
  <si>
    <t>P08_B_01_door_open.png</t>
  </si>
  <si>
    <t>06_TEST\04_EVIDENCE\RUN-20261017-01\screens\P08_B_01_door_open.png</t>
  </si>
  <si>
    <t>P08_B_01_model.png</t>
  </si>
  <si>
    <t>06_TEST\04_EVIDENCE\RUN-20261017-01\screens\P08_B_01_model.png</t>
  </si>
  <si>
    <t>P08_B_01_ate_error.png</t>
  </si>
  <si>
    <t>06_TEST\04_EVIDENCE\RUN-20261017-01\screens\P08_B_01_ate_error.png</t>
  </si>
  <si>
    <t>P08_B_02_closed_no_reset.png</t>
  </si>
  <si>
    <t>06_TEST\04_EVIDENCE\RUN-20261017-01\screens\P08_B_02_closed_no_reset.png</t>
  </si>
  <si>
    <t>P08_B_03_recovered.png</t>
  </si>
  <si>
    <t>06_TEST\04_EVIDENCE\RUN-20261017-01\screens\P08_B_03_recovered.png</t>
  </si>
  <si>
    <t>수동 복구 후 상태10·알람0·부저OFF·출력OFF·전체 누계0·운전 조건4개ON 확인.</t>
  </si>
  <si>
    <t>P08_B_03_model.png</t>
  </si>
  <si>
    <t>06_TEST\04_EVIDENCE\RUN-20261017-01\screens\P08_B_03_model.png</t>
  </si>
  <si>
    <t>D01200=0·D01220=0·M02100=0 확인. 최종 모델 비움·단발 복원 상태.</t>
  </si>
  <si>
    <t>P08_C_00_ready.png</t>
  </si>
  <si>
    <t>06_TEST\04_EVIDENCE\RUN-20261017-01\screens\P08_C_00_ready.png</t>
  </si>
  <si>
    <t>C 시작 상태10·Auto0·알람0·출력OFF·전체 누계0·운전 조건4개ON 확인.</t>
  </si>
  <si>
    <t>P08_C_fault.mp4</t>
  </si>
  <si>
    <t>06_TEST\04_EVIDENCE\RUN-20261017-01\video\P08_C_fault.mp4</t>
  </si>
  <si>
    <t>P08_C_01_fault_on.png</t>
  </si>
  <si>
    <t>06_TEST\04_EVIDENCE\RUN-20261017-01\screens\P08_C_01_fault_on.png</t>
  </si>
  <si>
    <t>P08_C_01_ate_error.png</t>
  </si>
  <si>
    <t>06_TEST\04_EVIDENCE\RUN-20261017-01\screens\P08_C_01_ate_error.png</t>
  </si>
  <si>
    <t>P08_C_02_fault_cleared_no_reset.png</t>
  </si>
  <si>
    <t>06_TEST\04_EVIDENCE\RUN-20261017-01\screens\P08_C_02_fault_cleared_no_reset.png</t>
  </si>
  <si>
    <t>P08_C_03_safety_restored.png</t>
  </si>
  <si>
    <t>06_TEST\04_EVIDENCE\RUN-20261017-01\screens\P08_C_03_safety_restored.png</t>
  </si>
  <si>
    <t>P08_C_04_recovered.png</t>
  </si>
  <si>
    <t>06_TEST\04_EVIDENCE\RUN-20261017-01\screens\P08_C_04_recovered.png</t>
  </si>
  <si>
    <t>약359.30초. 상태30에서 비상정지 후 상태0·알람1·안전OFF·출력OFF.
M02002=1 유지 중 비상정지를 해제해도 원시 정상1·허가0 유지.
새0→1 복귀 후 허가ON이지만 상태0·알람1 유지.
RESET 후 최소21초 무기동, 이후 모델0·단발0·M02100=0 확인.</t>
    <phoneticPr fontId="6" type="noConversion"/>
  </si>
  <si>
    <t>비상정지 후 상태0·알람1·안전 보조신호OFF·공정 출력OFF.
안전 팝업 원시 조건 정상OFF·릴레이 허가OFF 확인.</t>
    <phoneticPr fontId="6" type="noConversion"/>
  </si>
  <si>
    <t>LabVIEW 오류5003·PLC 알람 또는 운전 불가.
ACTIVE_ID0·ACTIVE_RESULT0·ACTIVE_RECORD빈칸.
P08_A_01_ate.csv 지정 경로 확인.</t>
    <phoneticPr fontId="6" type="noConversion"/>
  </si>
  <si>
    <t>M0200워드0=0x0006으로 비상정지0·문1·안전복귀1 확인.
M0202워드=0x0185로 원시 정상M02022=1·허가M02023=0 확인.
복귀입력을 누른 채 원인을 제거해도 재허가되지 않음.</t>
    <phoneticPr fontId="6" type="noConversion"/>
  </si>
  <si>
    <t>새 안전 복귀 후 M0100워드0=0x0081.
안전 보조신호M01000=1·문 닫힘M01007=1 확인.</t>
    <phoneticPr fontId="6" type="noConversion"/>
  </si>
  <si>
    <t>모델 정리 단계 후에도 상태0·알람1·부저ON·출력OFF·누계0 유지.
안전 허가는ON으로 복귀해 있어 안전 복귀와 공정RESET의 역할 구분 확인.</t>
    <phoneticPr fontId="6" type="noConversion"/>
  </si>
  <si>
    <t>약207.93초. 상태30에서 문 열림→상태0·알람1·안전OFF·출력OFF.
문을 닫고 약23초 이상 원시 정상ON·안전OFF 유지.
새 안전 복귀 후에도 상태0·알람1, 모델 정리·RESET 후10·알람0.
복구 후 최소44초 무기동, 최종 모델0·단발0·M02100=0 확인.</t>
    <phoneticPr fontId="6" type="noConversion"/>
  </si>
  <si>
    <t>문 열림·안전 보조신호OFF·상태0·알람1·부저ON·공정 출력OFF 확인.
안전 팝업 원시 정상OFF·릴레이 허가OFF.</t>
    <phoneticPr fontId="6" type="noConversion"/>
  </si>
  <si>
    <t>D01200=0으로 표시된 참고 사진.
촬영 당시 주변 설정값도0으로 표시되어 모니터 미갱신 가능성이 있으며 모델10 잔류의 근거로 사용하지 않음.</t>
    <phoneticPr fontId="6" type="noConversion"/>
  </si>
  <si>
    <t>LabVIEW 오류5003·PLC 알람 또는 운전 불가.
ACTIVE_ID0·ACTIVE_RESULT0·레코드 빈칸. P08_B_01_ate.csv 지정 경로 확인.</t>
    <phoneticPr fontId="6" type="noConversion"/>
  </si>
  <si>
    <t>문 닫힘ON·원시 조건 정상ON이지만 안전 보조신호OFF·릴레이 허가OFF·상태0·알람1 유지.
문을 닫기만 해서는 재허가되지 않음.</t>
    <phoneticPr fontId="6" type="noConversion"/>
  </si>
  <si>
    <t>약260.73초. START 없이 빈 장치에서 M02004 고장1→원시 정상OFF·안전OFF·상태0·알람1.
고장0 해제 후에도 원시 정상1·허가OFF 유지.
새 안전 복귀 후 허가ON이지만 상태0·알람1, RESET 후10·알람0.
복구 후 영상 종료까지 약14.7초 무기동.
누계0·모델0 유지.</t>
    <phoneticPr fontId="6" type="noConversion"/>
  </si>
  <si>
    <t>M02004=1·M02001=1, 원시 정상M02022=0·안전M01000=0 확인.
상태0·알람1·출력OFF·모델D01200=0·단발0.</t>
    <phoneticPr fontId="6" type="noConversion"/>
  </si>
  <si>
    <t>LabVIEW 오류5003·PLC 알람 또는 운전 불가.
ACTIVE_ID0·ACTIVE_RESULT0·레코드 빈칸.
P08_C_01_ate.csv 지정 경로 확인.</t>
    <phoneticPr fontId="6" type="noConversion"/>
  </si>
  <si>
    <t>M02004=0·문1·원시 정상M02022=1로 복원됐지만 안전M01000=0·상태0·알람1 유지.
고장 해제만으로 재허가되지 않음. 모델0 확인.</t>
    <phoneticPr fontId="6" type="noConversion"/>
  </si>
  <si>
    <t>새 안전 복귀 후 안전 보조신호ON·복구조건ON이지만 상태0·알람1·부저ON 유지.
공정RESET 전 알람 유지 확인.</t>
    <phoneticPr fontId="6" type="noConversion"/>
  </si>
  <si>
    <t>RUN20261017-01-P09-A01</t>
  </si>
  <si>
    <t>P09_01_env_off.mp4</t>
  </si>
  <si>
    <t>M02010=1로 상태30 보류 중 센서 중계만 정지.
환경 허가OFF 및 M02100 해제를 확인하고 M02010=0으로 복원하자 현재 제품이 PASS 검사·배출을 정상 완료함.
환경OFF에서 CIMON START 버튼 조작 후에도 상태10·누계 유지.
센서 중계 재시작 및 정상5회 복귀 후 환경 허가ON, 새 START 없이20초 이상 무기동 확인.
D00200=600 유지. T0001 적산 현재값은 미확보.
시각은 증거 확보 범위 기준.</t>
    <phoneticPr fontId="6" type="noConversion"/>
  </si>
  <si>
    <t>TOTAL 0→1/PASS 0→1/FAIL0/RETEST0.
요청ID D00024·수락ID D00029 모두0→1.
CSV 헤더1행+데이터1행·9필드, AUTO3300mV·범위3000~3600·결과1.
검사 캡처16:33:04/수락16:33:06 KST.
START 차단 후와 환경 복귀 후 추가 기록 없음.
마지막 확인값 D00022=0/D00100=10/D00310=0/D01200=0/D01220=1/M02100=0/M02010=0.</t>
    <phoneticPr fontId="6" type="noConversion"/>
  </si>
  <si>
    <t>P09_00_ready.png</t>
  </si>
  <si>
    <t>06_TEST\04_EVIDENCE\RUN-20261017-01\screens\P09_00_ready.png</t>
  </si>
  <si>
    <t>06_TEST\04_EVIDENCE\RUN-20261017-01\video\P09_01_env_off.mp4</t>
  </si>
  <si>
    <t>P09_01_ate.csv</t>
  </si>
  <si>
    <t>06_TEST\04_EVIDENCE\RUN-20261017-01\csv\P09_01_ate.csv</t>
  </si>
  <si>
    <t>P09_01_complete_env_off_cimon.png</t>
  </si>
  <si>
    <t>06_TEST\04_EVIDENCE\RUN-20261017-01\screens\P09_01_complete_env_off_cimon.png</t>
  </si>
  <si>
    <t>P09_01_complete_env_off_ls1.png</t>
  </si>
  <si>
    <t>06_TEST\04_EVIDENCE\RUN-20261017-01\screens\P09_01_complete_env_off_ls1.png</t>
  </si>
  <si>
    <t>P09_01_complete_env_off_ls2.png</t>
  </si>
  <si>
    <t>06_TEST\04_EVIDENCE\RUN-20261017-01\screens\P09_01_complete_env_off_ls2.png</t>
  </si>
  <si>
    <t>P09_02_block1.png</t>
  </si>
  <si>
    <t>06_TEST\04_EVIDENCE\RUN-20261017-01\screens\P09_02_block1.png</t>
  </si>
  <si>
    <t>P09_02_block2.png</t>
  </si>
  <si>
    <t>06_TEST\04_EVIDENCE\RUN-20261017-01\screens\P09_02_block2.png</t>
  </si>
  <si>
    <t>START 차단 후 제품 모델 D01200=0·연속 선택 D01220=1 유지 확인.</t>
  </si>
  <si>
    <t>P09_03_recovered1.png</t>
  </si>
  <si>
    <t>06_TEST\04_EVIDENCE\RUN-20261017-01\screens\P09_03_recovered1.png</t>
  </si>
  <si>
    <t>P09_03_recovered2.png</t>
  </si>
  <si>
    <t>06_TEST\04_EVIDENCE\RUN-20261017-01\screens\P09_03_recovered2.png</t>
  </si>
  <si>
    <t>시작 상태10·Auto0·알람0·전체 누계0·운전 조건4개ON.
제품 모델 D01200=0·연속 선택 D01220=1 확인.</t>
    <phoneticPr fontId="6" type="noConversion"/>
  </si>
  <si>
    <t>452.27초. 상태30 보류 중 센서 중계 정지, 약52초 환경 허가OFF·연속 기억0, 63초 상태30·알람0 확인.
약72초 M02010 해제 후 검사 진행, 현재 제품 PASS 완료.
약268초 환경OFF에서 START 버튼 조작 후 무기동.
약382초 허가 복귀 후20초 이상 자동 출발 없음. T0001 적산 현재값은 미확보.</t>
    <phoneticPr fontId="6" type="noConversion"/>
  </si>
  <si>
    <t>헤더1행+데이터1행·각9필드.
request_id=accepted_id=1, AUTO3300mV·하한3000·상한3600·결과1 PASS.
captured_utc 07:33:04Z/accepted_utc 07:33:06Z, KST16:33:04/16:33:06.</t>
    <phoneticPr fontId="6" type="noConversion"/>
  </si>
  <si>
    <t>환경 허가OFF 상태에서 현재 제품 완료.
상태10·알람0·TOTAL1/PASS1/FAIL0/RETEST0·수락 결과PASS.
안전보조·문·복구조건ON, 공정 명령OFF.</t>
    <phoneticPr fontId="6" type="noConversion"/>
  </si>
  <si>
    <t>D00100=10·D00310=0·D00200=600·TOTAL1확인.
M01000=1·M01007=1·M0100C=0·M02100=0·M02010~M02015=0.</t>
    <phoneticPr fontId="6" type="noConversion"/>
  </si>
  <si>
    <t>현재 제품 완료 후 D01200=0·D01220=1 확인.
연속 선택은 유지되지만 환경OFF로 연속 운전 기억은 해제된 상태.</t>
    <phoneticPr fontId="6" type="noConversion"/>
  </si>
  <si>
    <t>환경OFF에서 START 조작 후 상태10·알람0·검사 요청 D00022=0 유지.
요청ID D00024=1·수락ID D00029=1·TOTAL1/PASS1/FAIL0/RETEST0. M02100=0·M02010~M02015=0.</t>
    <phoneticPr fontId="6" type="noConversion"/>
  </si>
  <si>
    <t>환경 허가 M0100C=1 복귀 후에도 M02100=0·상태10·알람0·검사 요청0 유지.
요청ID=수락ID=1·TOTAL1/PASS1/FAIL0/RETEST0으로 추가 생산 없음.</t>
    <phoneticPr fontId="6" type="noConversion"/>
  </si>
  <si>
    <t>환경 허가 복귀 후 제품 모델 D01200=0·연속 선택 D01220=1 유지 확인.
허가 복귀만으로 제품이 자동 공급되지 않음.</t>
    <phoneticPr fontId="6" type="noConversion"/>
  </si>
  <si>
    <t>RUN20261017-01-P10-A01</t>
  </si>
  <si>
    <t>P10_01_timeout101.mp4</t>
  </si>
  <si>
    <t>M02010=1·연속 선택1에서 상태30·검사 위치감지0·제품 모델10 유지.
영상 약19초 상태30 진입 후 약79초 상태900으로 전환되어 약60초 타임아웃 확인.
D00200=600 유지, T0001 현재값472→591 증가 장면 확보.
알람101 후 공정 구동 명령6개OFF·연속 기억0·모델10 잔류 확인.
원인 제거 후에도 모델10·상태900 유지.
모델 정리 버튼 조작 후 알람101 유지.
정리 후 D01200=0은 시험자 직접 확인이며 사진·영상 숫자 증거는 미확보.
공정RESET 후 상태10·알람0, 20.7초 이상 무기동 확인. 시각은 증거 확보 범위 기준.</t>
    <phoneticPr fontId="6" type="noConversion"/>
  </si>
  <si>
    <t>TOTAL/PASS/FAIL/RETEST 모두0→0.
요청ID D00024·수락ID D00029 모두0 유지, 검사 요청 D00022=0. P10 CSV 미생성·검사 수락0건.
LabVIEW는 PLC 이상 감지로 오류5003 종료, ACTIVE_ID0·ACTIVE_RESULT0·레코드 공백.
복구 후 상태10·알람0·공정 명령OFF·누계0.
마지막 실제 D01220 확인값1이며 단발0 복원값은 미캡처.</t>
    <phoneticPr fontId="6" type="noConversion"/>
  </si>
  <si>
    <t>P10_00_ready.png</t>
  </si>
  <si>
    <t>06_TEST\04_EVIDENCE\RUN-20261017-01\screens\P10_00_ready.png</t>
  </si>
  <si>
    <t>P10_00_ready_ls.png</t>
  </si>
  <si>
    <t>06_TEST\04_EVIDENCE\RUN-20261017-01\screens\P10_00_ready_ls.png</t>
  </si>
  <si>
    <t>06_TEST\04_EVIDENCE\RUN-20261017-01\video\P10_01_timeout101.mp4</t>
  </si>
  <si>
    <t>P10_01_wait1.png</t>
  </si>
  <si>
    <t>06_TEST\04_EVIDENCE\RUN-20261017-01\screens\P10_01_wait1.png</t>
  </si>
  <si>
    <t>P10_01_wait2.png</t>
  </si>
  <si>
    <t>06_TEST\04_EVIDENCE\RUN-20261017-01\screens\P10_01_wait2.png</t>
  </si>
  <si>
    <t>P10_02_alarm.png</t>
  </si>
  <si>
    <t>06_TEST\04_EVIDENCE\RUN-20261017-01\screens\P10_02_alarm.png</t>
  </si>
  <si>
    <t>P10_02_alarm_ls1.png</t>
  </si>
  <si>
    <t>06_TEST\04_EVIDENCE\RUN-20261017-01\screens\P10_02_alarm_ls1.png</t>
  </si>
  <si>
    <t>P10_02_alarm_ls2.png</t>
  </si>
  <si>
    <t>06_TEST\04_EVIDENCE\RUN-20261017-01\screens\P10_02_alarm_ls2.png</t>
  </si>
  <si>
    <t>P10_02_ate_error.png</t>
  </si>
  <si>
    <t>06_TEST\04_EVIDENCE\RUN-20261017-01\screens\P10_02_ate_error.png</t>
  </si>
  <si>
    <t>P10_02a_fault_clear.png</t>
  </si>
  <si>
    <t>06_TEST\04_EVIDENCE\RUN-20261017-01\screens\P10_02a_fault_clear.png</t>
  </si>
  <si>
    <t>P10_02b_model_clear.png</t>
  </si>
  <si>
    <t>06_TEST\04_EVIDENCE\RUN-20261017-01\screens\P10_02b_model_clear.png</t>
  </si>
  <si>
    <t>P10_03_recovery.png</t>
  </si>
  <si>
    <t>06_TEST\04_EVIDENCE\RUN-20261017-01\screens\P10_03_recovery.png</t>
  </si>
  <si>
    <t>시작 상태10·Auto0·알람0·전체 누계0.
안전보조·문·환경 허가·복구조건ON.
제품 모델 D01200=0·연속 선택 D01220=1 확인.</t>
    <phoneticPr fontId="6" type="noConversion"/>
  </si>
  <si>
    <t>D00100=10·D00310=0·D00200=600.
D00020~D00029 및 누계 D00300~D00307 모두0.
시험 전 요청·수락ID와 계수 기준 확인.</t>
    <phoneticPr fontId="6" type="noConversion"/>
  </si>
  <si>
    <t>약333.43초. 상태30 진입 약19초→상태900 전환 약79초로 약60초 타임아웃.
T0001 현재값472→591·설정600 확인.
고장 해제 후 모델10·상태900 유지, 모델 정리 조작 후 알람101 유지.
약312초 RESET 복구 후332.73초까지 무기동.
정리 후 모델0 숫자는 영상에 없으며 시험자 직접 확인으로 별도 기록.</t>
    <phoneticPr fontId="6" type="noConversion"/>
  </si>
  <si>
    <t>D00100=30·D00310=0·D00200=600. 요청·응답·수락ID 및 모든 누계0.
검사 위치 도착 대기 상태 확인. T0001 적산 현재값은 이 사진에 없음.</t>
    <phoneticPr fontId="6" type="noConversion"/>
  </si>
  <si>
    <t>D01200=10·D01220=1·M02010=1·M01005=0·M02100=1.
안전·문·환경 허가1, 다른 장치 고장0. 컨베이어 명령 M01100=1 확인.</t>
    <phoneticPr fontId="6" type="noConversion"/>
  </si>
  <si>
    <t>상태900·알람101 ‘검사 위치 이송 시간 초과’.
모든 생산 누계0·공정 명령OFF·부저ON. 안전·문·환경 허가·복구조건ON 유지.</t>
    <phoneticPr fontId="6" type="noConversion"/>
  </si>
  <si>
    <t>D00100=900·D00310=101·D00200=600.
D00020~D00029 및 누계 D00300~D00307 모두0.
검사 요청·수락 및 생산량 증가 없이 고장 중단 확인.</t>
    <phoneticPr fontId="6" type="noConversion"/>
  </si>
  <si>
    <t>알람 후 제품 모델 D01200=10 잔류·D01220=1·M02100=0. M02010=1·다른 고장0.
M01100~M01105 모두OFF, 부저 M01109 ON 확인.</t>
    <phoneticPr fontId="6" type="noConversion"/>
  </si>
  <si>
    <t>LabVIEW 오류5003·‘PLC 알람 또는 운전 불가’.
ACTIVE_ID0·ACTIVE_RESULT0·ACTIVE_RECORD 공백.
P10_01_ate.csv 지정 경로 확인.
PLC 고장에 따른 검사기 종료 반응이며 검사 수락 없음.</t>
    <phoneticPr fontId="6" type="noConversion"/>
  </si>
  <si>
    <t>원인 제거 단계의 CIMON 상태900·알람101·누계0·공정 명령OFF 유지.
이 사진에는 M02010과 모델 숫자가 없으며, 고장 해제 후 모델10 유지는 영상에서 확인.</t>
    <phoneticPr fontId="6" type="noConversion"/>
  </si>
  <si>
    <t>모델 정리 조작 후에도 상태900·알람101·누계0 유지.
D01200 숫자는 사진에 없으며, 정리 후0은 시험자 직접 확인으로 기록.</t>
    <phoneticPr fontId="6" type="noConversion"/>
  </si>
  <si>
    <t>공정RESET 후 상태10·알람0·부저OFF·공정 명령OFF·전체 누계0.
안전·문·환경 허가·복구조건ON. 복구 후20초 이상 무기동은 영상으로 확인.</t>
    <phoneticPr fontId="6" type="noConversion"/>
  </si>
  <si>
    <t>RUN20261017-01-P11-A01</t>
  </si>
  <si>
    <t>P11_01_timeout102.mp4</t>
  </si>
  <si>
    <t>M02011=1에서 상태50·닫힘 명령 M01102=1·닫힘 감지 M01008=0·제품 모델20 유지.
D00201=600 설정에서 영상 약12초 상태50 진입→약72.5초 상태900 전환으로 약60초 타임아웃 및 알람102 확인.
연속 운전 기억1→0·공정 구동 명령6개OFF 확인.
원인 제거 후 모델20·상태900·알람102 유지.
모델 정리 후 D01200=0 숫자와 검사 위치감지OFF를 확인했으며 알람102는 유지됨.
공정RESET 후 상태10·알람0, 새 START 없이35초 이상 무기동.
타이머 사진은 현재값0으로 설정 확인용이며 경과시간은 영상 기준.
시각은 증거 확보 범위 기준.</t>
    <phoneticPr fontId="6" type="noConversion"/>
  </si>
  <si>
    <t>TOTAL/PASS/FAIL/RETEST 모두0→0.
요청ID D00024·수락ID D00029 모두0 유지, 검사 요청 D00022=0.
P11 CSV 미생성·검사 수락0건.
LabVIEW는 PLC 이상 감지로 오류5003 종료, ACTIVE_ID0·ACTIVE_RESULT0·레코드 공백.
최종 상태10·알람0·모델0·단발 선택 D01220=0·연속 기억 M02100=0·고장 입력0·공정 명령OFF 확인.</t>
    <phoneticPr fontId="6" type="noConversion"/>
  </si>
  <si>
    <t>P11_00_ready.png</t>
  </si>
  <si>
    <t>06_TEST\04_EVIDENCE\RUN-20261017-01\screens\P11_00_ready.png</t>
  </si>
  <si>
    <t>開始 상태10·Auto0·알람0·전체 누계0·운전조건4개ON·공정 명령OFF 확인.</t>
  </si>
  <si>
    <t>P11_00_ready1.png</t>
  </si>
  <si>
    <t>06_TEST\04_EVIDENCE\RUN-20261017-01\screens\P11_00_ready1.png</t>
  </si>
  <si>
    <t>P11_00_ready2.png</t>
  </si>
  <si>
    <t>06_TEST\04_EVIDENCE\RUN-20261017-01\screens\P11_00_ready2.png</t>
  </si>
  <si>
    <t>시작 전 제품 모델 D01200=0·연속 선택 D01220=1 확인.</t>
  </si>
  <si>
    <t>06_TEST\04_EVIDENCE\RUN-20261017-01\video\P11_01_timeout102.mp4</t>
  </si>
  <si>
    <t>P11_01_wait1.png</t>
  </si>
  <si>
    <t>06_TEST\04_EVIDENCE\RUN-20261017-01\screens\P11_01_wait1.png</t>
  </si>
  <si>
    <t>P11_01_wait2.png</t>
  </si>
  <si>
    <t>06_TEST\04_EVIDENCE\RUN-20261017-01\screens\P11_01_wait2.png</t>
  </si>
  <si>
    <t>검사 위치의 제품 모델 D01200=20·연속 선택 D01220=1 확인.</t>
  </si>
  <si>
    <t>P11_01_wait_timer.png</t>
  </si>
  <si>
    <t>06_TEST\04_EVIDENCE\RUN-20261017-01\screens\P11_01_wait_timer.png</t>
  </si>
  <si>
    <t>P11_02_alarm.png</t>
  </si>
  <si>
    <t>06_TEST\04_EVIDENCE\RUN-20261017-01\screens\P11_02_alarm.png</t>
  </si>
  <si>
    <t>P11_02_alarm_ls1.png</t>
  </si>
  <si>
    <t>06_TEST\04_EVIDENCE\RUN-20261017-01\screens\P11_02_alarm_ls1.png</t>
  </si>
  <si>
    <t>P11_02_alarm_ls2.png</t>
  </si>
  <si>
    <t>06_TEST\04_EVIDENCE\RUN-20261017-01\screens\P11_02_alarm_ls2.png</t>
  </si>
  <si>
    <t>알람 후 제품 모델 D01200=20 잔류·연속 선택 D01220=1 확인.</t>
  </si>
  <si>
    <t>P11_02_ate_error.png</t>
  </si>
  <si>
    <t>06_TEST\04_EVIDENCE\RUN-20261017-01\screens\P11_02_ate_error.png</t>
  </si>
  <si>
    <t>P11_02a_fault_clear1.png</t>
  </si>
  <si>
    <t>06_TEST\04_EVIDENCE\RUN-20261017-01\screens\P11_02a_fault_clear1.png</t>
  </si>
  <si>
    <t>P11_02a_fault_clear2.png</t>
  </si>
  <si>
    <t>06_TEST\04_EVIDENCE\RUN-20261017-01\screens\P11_02a_fault_clear2.png</t>
  </si>
  <si>
    <t>원인 제거 단계에서도 제품 모델 D01200=20·연속 선택 D01220=1 유지 확인.</t>
  </si>
  <si>
    <t>P11_02b_model_clear1.png</t>
  </si>
  <si>
    <t>06_TEST\04_EVIDENCE\RUN-20261017-01\screens\P11_02b_model_clear1.png</t>
  </si>
  <si>
    <t>P11_02b_model_clear2.png</t>
  </si>
  <si>
    <t>06_TEST\04_EVIDENCE\RUN-20261017-01\screens\P11_02b_model_clear2.png</t>
  </si>
  <si>
    <t>공정RESET 전 모델 정리 결과 D01200=0 숫자 확보. 연속 선택 D01220=1 유지.</t>
  </si>
  <si>
    <t>P11_03_recovery.png</t>
  </si>
  <si>
    <t>06_TEST\04_EVIDENCE\RUN-20261017-01\screens\P11_03_recovery.png</t>
  </si>
  <si>
    <t>P11_03_recovery_ls1.png</t>
  </si>
  <si>
    <t>06_TEST\04_EVIDENCE\RUN-20261017-01\screens\P11_03_recovery_ls1.png</t>
  </si>
  <si>
    <t>최종 상태10·알람0·D00201=600·요청/응답/수락ID0·누계0·M02011=0·M02100=0 확인.</t>
  </si>
  <si>
    <t>P11_03_recovery_ls2.png</t>
  </si>
  <si>
    <t>06_TEST\04_EVIDENCE\RUN-20261017-01\screens\P11_03_recovery_ls2.png</t>
  </si>
  <si>
    <t>최종 제품 모델 D01200=0·단발 선택 D01220=0으로 복원 확인.</t>
  </si>
  <si>
    <t>D00100=10·D00310=0·D00201=600.
요청·응답·수락ID0, 고장 M02011=0·연속 운전 기억 M02100=0 확인.</t>
    <phoneticPr fontId="6" type="noConversion"/>
  </si>
  <si>
    <t>약475.07초. 상태50 진입 약12초→상태900 전환 약72.5초로 약60초 타임아웃·알람102 확인.
고장 해제 후 모델20·고장 상태 유지.
모델 정리 후 모델0 숫자·검사 위치감지OFF 및 알람 유지 확인.
약386초 RESET 복구 후35초 이상 무기동.
최종 모델0·단발0·연속 기억0·고장0·누계0 확인.</t>
    <phoneticPr fontId="6" type="noConversion"/>
  </si>
  <si>
    <t>상태50·알람0·M02011=1·닫힘 명령 M01102=1·닫힘 감지 M01008=0·검사 위치 M01005=1.
M02100=1·환경 허가1·D00201=600·요청/수락ID0·누계0 확인.</t>
    <phoneticPr fontId="6" type="noConversion"/>
  </si>
  <si>
    <t>TON T0002 D00201 회로와 설정600 확인.
표시 현재값은0이므로 적산 증가 근거로 사용하지 않음.
실제 대기시간은 영상의 상태50→900 구간으로 확인.</t>
    <phoneticPr fontId="6" type="noConversion"/>
  </si>
  <si>
    <t>상태900·알람102 ‘클램프 닫힘 시간 초과’.
전체 누계0·공정 명령OFF·부저ON·검사 위치감지ON·복구조건OFF.
안전·문·환경 허가ON 유지.</t>
    <phoneticPr fontId="6" type="noConversion"/>
  </si>
  <si>
    <t>D00100=900·D00310=102·D00201=600.
요청·응답·수락ID0·누계0.
M02011=1·M02100=0·M01100~M01105 모두OFF 확인.</t>
    <phoneticPr fontId="6" type="noConversion"/>
  </si>
  <si>
    <t>LabVIEW 오류5003 ‘PLC 알람 또는 운전 불가’.
ACTIVE_ID0·ACTIVE_RESULT0·레코드 공백.
AUTO3300mV·범위3000~3600·P11 CSV 지정 경로 확인.
검사 수락 전 PLC 고장에 따른 종료 반응.</t>
    <phoneticPr fontId="6" type="noConversion"/>
  </si>
  <si>
    <t>M02011=0으로 원인을 제거해도 상태900·알람102 유지.
요청·수락ID0·누계0·연속 기억0 확인.</t>
    <phoneticPr fontId="6" type="noConversion"/>
  </si>
  <si>
    <t>모델 정리 후 검사 위치감지 M01005=0으로 해제되지만 상태900·알람102·누계0 유지.
모델 정리만으로 공정 알람이 해제되지 않음 확인.</t>
    <phoneticPr fontId="6" type="noConversion"/>
  </si>
  <si>
    <t>공정RESET 후 상태10·알람0·부저OFF·공정 명령OFF·전체 누계0·운전조건4개ON 확인.
복구 후35초 이상 무기동은 영상으로 확인.</t>
    <phoneticPr fontId="6" type="noConversion"/>
  </si>
  <si>
    <t>RUN20261017-01-P12-A01</t>
  </si>
  <si>
    <t>P12_01_timeout105.mp4</t>
  </si>
  <si>
    <t>M02012=1에서 정상 검사 PASS 수락 후 상태70·닫힘 명령 M01102=0·닫힘 감지 M01008=1·제품 모델20 유지.
D00203=600 설정에서 영상 약17초 상태70→약77초 상태900·알람105로 약60초 열림 타임아웃 확인.
공정 구동 명령6개OFF·연속 운전 기억 M02100=0 확인.
고장 입력 해제만으로 상태900·알람105·모델20 유지.
모델 정리 후 모델0·검사 위치/닫힘 감지OFF, 알람105 유지.
공정RESET 후 상태10·알람0 및 START 없이24초 이상 정지 관측;
해당 관측에는 환경 허가OFF 구간이 포함됨.
반복 실행·촬영 자료를 함께 보존함. 시각은 증거 확보 범위 기준.</t>
    <phoneticPr fontId="6" type="noConversion"/>
  </si>
  <si>
    <t>TOTAL/PASS/FAIL/RETEST 모두0→0으로 배출 완료 생산량 증가 없음.
최종 요청ID D00024=3·수락ID D00029=3은 영상에서 확인.
CSV는 헤더 제외2행(ID1·3), 모두 AUTO·3300mV·기준3000~3600mV·PASS1·요청ID=수락ID.
KST 수락시각은 ID1 19:46:01, ID3 19:49:46.
LabVIEW는 PLC 고장 감지로 오류5003 종료.
알람 시 D00102=0 초기화는 정상 동작.
최종 모델0·단발 선택 D01220=0·연속 기억0·고장 입력0·공정 명령OFF 확인.</t>
    <phoneticPr fontId="6" type="noConversion"/>
  </si>
  <si>
    <t>P12_00_ready.png</t>
  </si>
  <si>
    <t>06_TEST\04_EVIDENCE\RUN-20261017-01\screens\P12_00_ready.png</t>
  </si>
  <si>
    <t>CIMON 초기 준비 상태10·운전 모드0·알람0·전체 누계0·운전조건4개ON·공정 명령OFF 확인.</t>
  </si>
  <si>
    <t>P12_00_ready_ls1.png</t>
  </si>
  <si>
    <t>06_TEST\04_EVIDENCE\RUN-20261017-01\screens\P12_00_ready_ls1.png</t>
  </si>
  <si>
    <t>초기 참고자료. 실제 표시값은 상태0·알람1·D00203=600·M02012=0·M02100=0이며 상태10·알람0의 준비 완료 근거로 사용하지 않음.</t>
  </si>
  <si>
    <t>P12_00_ready_ls2.png</t>
  </si>
  <si>
    <t>06_TEST\04_EVIDENCE\RUN-20261017-01\screens\P12_00_ready_ls2.png</t>
  </si>
  <si>
    <t>초기 제품 모델 D01200=0·연속 선택 D01220=1 확인.</t>
  </si>
  <si>
    <t>P12_01_wait_timer.png</t>
  </si>
  <si>
    <t>06_TEST\04_EVIDENCE\RUN-20261017-01\screens\P12_01_wait_timer.png</t>
  </si>
  <si>
    <t>P12_01_wait.png</t>
  </si>
  <si>
    <t>06_TEST\04_EVIDENCE\RUN-20261017-01\screens\P12_01_wait.png</t>
  </si>
  <si>
    <t>CIMON 상태70·수락 결과PASS·닫힘 명령OFF·닫힘 감지ON·검사 위치 감지ON·알람0·전체 생산누계0 확인.</t>
  </si>
  <si>
    <t>P12_01_wait_ls1.png</t>
  </si>
  <si>
    <t>06_TEST\04_EVIDENCE\RUN-20261017-01\screens\P12_01_wait_ls1.png</t>
  </si>
  <si>
    <t>P12_01_wait_ls2.png</t>
  </si>
  <si>
    <t>06_TEST\04_EVIDENCE\RUN-20261017-01\screens\P12_01_wait_ls2.png</t>
  </si>
  <si>
    <t>열림 실패 중 제품 모델 D01200=20·연속 선택 D01220=1 유지 확인.</t>
  </si>
  <si>
    <t>P12_01_accepted_ate.png</t>
  </si>
  <si>
    <t>06_TEST\04_EVIDENCE\RUN-20261017-01\screens\P12_01_accepted_ate.png</t>
  </si>
  <si>
    <t>P12_02_alarm.png</t>
  </si>
  <si>
    <t>06_TEST\04_EVIDENCE\RUN-20261017-01\screens\P12_02_alarm.png</t>
  </si>
  <si>
    <t>CIMON 상태900·알람105 클램프 열림 시간 초과·부저ON·공정 명령OFF·검사 위치/닫힘 감지ON·전체 생산누계0 확인.</t>
  </si>
  <si>
    <t>P12_02_alarm_ls2.png</t>
  </si>
  <si>
    <t>06_TEST\04_EVIDENCE\RUN-20261017-01\screens\P12_02_alarm_ls2.png</t>
  </si>
  <si>
    <t>P12_02_alarm_ls1.png</t>
  </si>
  <si>
    <t>06_TEST\04_EVIDENCE\RUN-20261017-01\screens\P12_02_alarm_ls1.png</t>
  </si>
  <si>
    <t>P12_02_ate_error.png</t>
  </si>
  <si>
    <t>06_TEST\04_EVIDENCE\RUN-20261017-01\screens\P12_02_ate_error.png</t>
  </si>
  <si>
    <t>LabVIEW 오류5003 PLC 알람 또는 운전 불가·ATE_STATE50·ACTIVE_ID3·ACTIVE_RESULT1 및 ID3 검사 레코드 잔존 확인.</t>
  </si>
  <si>
    <t>P12_02a_fault_clear1.png</t>
  </si>
  <si>
    <t>06_TEST\04_EVIDENCE\RUN-20261017-01\screens\P12_02a_fault_clear1.png</t>
  </si>
  <si>
    <t>P12_02a_fault_clear2.png</t>
  </si>
  <si>
    <t>06_TEST\04_EVIDENCE\RUN-20261017-01\screens\P12_02a_fault_clear2.png</t>
  </si>
  <si>
    <t>고장 입력 해제만으로 제품 모델이 정리되지 않으며 D01200=20 유지됨을 확인.</t>
  </si>
  <si>
    <t>P12_02b_model_clear1.png</t>
  </si>
  <si>
    <t>06_TEST\04_EVIDENCE\RUN-20261017-01\screens\P12_02b_model_clear1.png</t>
  </si>
  <si>
    <t>P12_02b_model_clear2.png</t>
  </si>
  <si>
    <t>06_TEST\04_EVIDENCE\RUN-20261017-01\screens\P12_02b_model_clear2.png</t>
  </si>
  <si>
    <t>모델 정리 후 D01200=0 숫자 확인. 연속 선택 D01220=1은 유지.</t>
  </si>
  <si>
    <t>P12_03_recovery.png</t>
  </si>
  <si>
    <t>06_TEST\04_EVIDENCE\RUN-20261017-01\screens\P12_03_recovery.png</t>
  </si>
  <si>
    <t>P12_03_recovery_ls1.png</t>
  </si>
  <si>
    <t>06_TEST\04_EVIDENCE\RUN-20261017-01\screens\P12_03_recovery_ls1.png</t>
  </si>
  <si>
    <t>최종 LS 상태10·알람0·요청ID3·D00203=600·M02012=0·M02100=0·검사 위치/닫힘 감지OFF·공정 명령6개OFF·전체 누계0 확인.</t>
  </si>
  <si>
    <t>P12_03_recovery_ls2.png</t>
  </si>
  <si>
    <t>写真</t>
  </si>
  <si>
    <t>06_TEST\04_EVIDENCE\RUN-20261017-01\screens\P12_03_recovery_ls2.png</t>
  </si>
  <si>
    <t>06_TEST\04_EVIDENCE\RUN-20261017-01\video\P12_01_timeout105.mp4</t>
  </si>
  <si>
    <t>P12_01_ate.csv</t>
  </si>
  <si>
    <t>06_TEST\04_EVIDENCE\RUN-20261017-01\csv\P12_01_ate.csv</t>
  </si>
  <si>
    <t>첫 실행의 T0004 현재값454·설정값600 확인.
주영상 ID3과 별도 촬영 시점이며 열림 대기 타이머 진행 근거로 보존.</t>
    <phoneticPr fontId="6" type="noConversion"/>
  </si>
  <si>
    <t>LabVIEW에 남은 ID3·AUTO·3300mV·기준3000~3600mV·PASS1 검사 레코드 확인.</t>
    <phoneticPr fontId="6" type="noConversion"/>
  </si>
  <si>
    <t>알람 발생 후에도 제품 모델 D01200=20 유지.
연속 선택 D01220=1 확인.</t>
    <phoneticPr fontId="6" type="noConversion"/>
  </si>
  <si>
    <t>다른 단계의 표시값이 포함된 참고자료.
실제 표시값은 상태10·알람0·요청ID1·D00203=600·M02012=1·M02100=1이며 주영상 ID3와 동일하게 진행.</t>
    <phoneticPr fontId="6" type="noConversion"/>
  </si>
  <si>
    <t>LS 상태900·알람105·요청ID3·D00203=600·M02012=1·M02100=0·공정 명령6개OFF·전체 누계0 확인.
알람 처리로 D00102=0 초기화됨.</t>
    <phoneticPr fontId="6" type="noConversion"/>
  </si>
  <si>
    <t>M02012=0으로 원인 제거 후에도 상태900·알람105·검사 위치 감지 M01005=1·닫힘 감지 M01008=1 유지.
M02100=0·공정 명령OFF 확인.</t>
    <phoneticPr fontId="6" type="noConversion"/>
  </si>
  <si>
    <t>모델 정리 후 검사 위치/닫힘 감지OFF·공정 명령OFF 확인.
상태900·알람105는 유지되어 모델 정리만으로 공정 고장이 복구되지 않음.</t>
    <phoneticPr fontId="6" type="noConversion"/>
  </si>
  <si>
    <t>공정RESET 후 CIMON 상태10·알람0·부저OFF·공정 명령OFF·전체 누계0 확인.
이 시점의 환경 시작 허가는OFF로 표시됨.</t>
    <phoneticPr fontId="6" type="noConversion"/>
  </si>
  <si>
    <t>최종 제품 모델 D01200=0·단발 선택 D01220=0 복원 확인.</t>
  </si>
  <si>
    <t>최종 제품 모델 D01200=0·단발 선택 D01220=0 복원 확인.</t>
    <phoneticPr fontId="6" type="noConversion"/>
  </si>
  <si>
    <t>주 실행 ID3의 상태70·PASS 수락→약60초 후 상태900·알람105 전환 확인.
생산누계 증가0·구동 명령OFF·연속 기억 해제·요청/수락ID3/3 확인.
원인 제거 후 모델20 유지→모델 정리로0·알람 유지→RESET으로10/0 복구 확인.
START 없이24초 이상 정지 관측하였으며 해당 구간에는 환경 허가OFF가 포함됨.</t>
    <phoneticPr fontId="6" type="noConversion"/>
  </si>
  <si>
    <t>헤더9열·데이터2행 ID1/3, 모두 AUTO·3300mV·기준3000~3600mV·PASS1·요청ID=수락ID 확인.
KST 수락시각 ID1 19:46:01·ID3 19:49:46.</t>
    <phoneticPr fontId="6" type="noConversion"/>
  </si>
  <si>
    <t>RUN20261017-01-P13-A01</t>
  </si>
  <si>
    <t>P13_01_timeout106.mp4</t>
  </si>
  <si>
    <t>M02013=1에서 상태81·수락 결과PASS·PASS 게이트 명령ON/도달OFF·클램프 열림·제품 모델20 확인.
D00204=600의100ms 기준60초 설정을 유지함.
영상 약26초 상태81 진입 후 약86초에 PASS 게이트 명령과 모사RUN이OFF되어 약60초 후 명령 차단 확인.
알람 전환 순간은 XG5000 창에 가려졌으며 약120초 화면에서 상태900·알람106을 확인함.
고장 입력 해제만으로 상태900·알람106·모델20 유지.
모델 정리 후 모델0이나 알람106 유지, 별도 공정RESET 후 상태10·알람0으로 복구.
연속 선택1 상태에서64초 이상 무기동을 관측했으며 해당 구간은 환경 허가OFF 조건임.
타이머 사진은 현재값0으로 설정 확인용. 시각은 자료 확보 범위 기준.</t>
    <phoneticPr fontId="6" type="noConversion"/>
  </si>
  <si>
    <t>TOTAL/PASS/FAIL/RETEST 모두0→0.
요청ID D00024·수락ID D00029 모두0→1이며 최종1/1 보존.
CSV는 헤더 제외1행·9필드, ID1·AUTO·3300mV·기준3000~3600mV·PASS1·수락ID1.
캡처 KST20:26:53·수락20:26:55.
검사 수락 후 배출 완료 전 중단되어 생산 수량 증가0이 정상.
알람 후 D00102=0 초기화, LabVIEW 오류5003·ACTIVE_ID1·ACTIVE_RESULT1 확인.
최종 상태10·알람0·모델0·D01220=0·M02013=0·M02100=0 확인.
구동 명령OFF는 CIMON 표시와 영상의 PASS 원시명령으로 확인했으며6개 원시출력 전체를 동시에 확보한 화면은 없음.</t>
    <phoneticPr fontId="6" type="noConversion"/>
  </si>
  <si>
    <t>P13_00_ready.png</t>
  </si>
  <si>
    <t>06_TEST\04_EVIDENCE\RUN-20261017-01\screens\P13_00_ready.png</t>
  </si>
  <si>
    <t>P13_00_ready_ls1.png</t>
  </si>
  <si>
    <t>06_TEST\04_EVIDENCE\RUN-20261017-01\screens\P13_00_ready_ls1.png</t>
  </si>
  <si>
    <t>초기 LS 상태10·알람0·D00102=0·요청ID D00024=0·수락ID D00029=0·전체 생산누계0·D00204=600 확인.</t>
  </si>
  <si>
    <t>P13_00_ready_ls2.png</t>
  </si>
  <si>
    <t>06_TEST\04_EVIDENCE\RUN-20261017-01\screens\P13_00_ready_ls2.png</t>
  </si>
  <si>
    <t>P13_01_wait.png</t>
  </si>
  <si>
    <t>06_TEST\04_EVIDENCE\RUN-20261017-01\screens\P13_01_wait.png</t>
  </si>
  <si>
    <t>상태81 PASS 게이트 대기·수락 결과PASS·PASS 명령ON/도달OFF·다른 게이트 명령/도달OFF·클램프 닫힘 명령/감지OFF·검사 위치ON·알람0·생산 누계0 확인.</t>
  </si>
  <si>
    <t>P13_01_wait_ls1.png</t>
  </si>
  <si>
    <t>06_TEST\04_EVIDENCE\RUN-20261017-01\screens\P13_01_wait_ls1.png</t>
  </si>
  <si>
    <t>P13_01_wait_ls2.png</t>
  </si>
  <si>
    <t>06_TEST\04_EVIDENCE\RUN-20261017-01\screens\P13_01_wait_ls2.png</t>
  </si>
  <si>
    <t>게이트 미도달 대기 중 제품 모델 D01200=20·연속 선택 D01220=1 확인.</t>
  </si>
  <si>
    <t>P13_01_wait_timer.png</t>
  </si>
  <si>
    <t>06_TEST\04_EVIDENCE\RUN-20261017-01\screens\P13_01_wait_timer.png</t>
  </si>
  <si>
    <t>P13_02_alarm.png</t>
  </si>
  <si>
    <t>06_TEST\04_EVIDENCE\RUN-20261017-01\screens\P13_02_alarm.png</t>
  </si>
  <si>
    <t>상태900·알람106 선택 게이트 도달 시간 초과·화면상 공정 명령OFF·부저ON·검사 위치ON·닫힘 감지OFF·전체 생산누계0 확인.</t>
  </si>
  <si>
    <t>P13_02_alarm_ls1.png</t>
  </si>
  <si>
    <t>06_TEST\04_EVIDENCE\RUN-20261017-01\screens\P13_02_alarm_ls1.png</t>
  </si>
  <si>
    <t>P13_02_alarm_ls2.png</t>
  </si>
  <si>
    <t>06_TEST\04_EVIDENCE\RUN-20261017-01\screens\P13_02_alarm_ls2.png</t>
  </si>
  <si>
    <t>알람 발생 후 제품 모델 D01200=20 잔류·연속 선택 D01220=1 확인.</t>
  </si>
  <si>
    <t>P13_02_ate_error.png</t>
  </si>
  <si>
    <t>06_TEST\04_EVIDENCE\RUN-20261017-01\screens\P13_02_ate_error.png</t>
  </si>
  <si>
    <t>P13_02a_fault_clear1.png</t>
  </si>
  <si>
    <t>06_TEST\04_EVIDENCE\RUN-20261017-01\screens\P13_02a_fault_clear1.png</t>
  </si>
  <si>
    <t>P13_02a_fault_clear2.png</t>
  </si>
  <si>
    <t>06_TEST\04_EVIDENCE\RUN-20261017-01\screens\P13_02a_fault_clear2.png</t>
  </si>
  <si>
    <t>고장 입력 해제만으로 제품이 정리되지 않으며 D01200=20·D01220=1 유지됨을 확인.</t>
  </si>
  <si>
    <t>P13_02b_model_clear1.png</t>
  </si>
  <si>
    <t>06_TEST\04_EVIDENCE\RUN-20261017-01\screens\P13_02b_model_clear1.png</t>
  </si>
  <si>
    <t>P13_02b_model_clear2.png</t>
  </si>
  <si>
    <t>06_TEST\04_EVIDENCE\RUN-20261017-01\screens\P13_02b_model_clear2.png</t>
  </si>
  <si>
    <t>모델 정리 후 실제 숫자 D01200=0 확인. 연속 선택 D01220=1 유지.</t>
  </si>
  <si>
    <t>P13_03_recovery.png</t>
  </si>
  <si>
    <t>06_TEST\04_EVIDENCE\RUN-20261017-01\screens\P13_03_recovery.png</t>
  </si>
  <si>
    <t>P13_03_recovery_ls1.png</t>
  </si>
  <si>
    <t>06_TEST\04_EVIDENCE\RUN-20261017-01\screens\P13_03_recovery_ls1.png</t>
  </si>
  <si>
    <t>최종 상태10·알람0·D00102=0·요청ID1·수락ID1 보존·D00204=600·생산 누계0·M02013=0·M02100=0 확인.</t>
  </si>
  <si>
    <t>P13_03_recovery_ls2.png</t>
  </si>
  <si>
    <t>06_TEST\04_EVIDENCE\RUN-20261017-01\screens\P13_03_recovery_ls2.png</t>
  </si>
  <si>
    <t>06_TEST\04_EVIDENCE\RUN-20261017-01\video\P13_01_timeout106.mp4</t>
  </si>
  <si>
    <t>P13_01_ate.csv</t>
  </si>
  <si>
    <t>06_TEST\04_EVIDENCE\RUN-20261017-01\csv\P13_01_ate.csv</t>
  </si>
  <si>
    <t>CIMON 상태10·Auto0·알람0·생산 누계4개 모두0·운전조건4개ON·기동가능ON·공정 명령/감지OFF 확인.
촬영 시 단발 선택 상태.</t>
    <phoneticPr fontId="6" type="noConversion"/>
  </si>
  <si>
    <t>초기 제품 모델 D01200=0·단발 선택 D01220=0 확인.
연속 선택은 이후 START 전에 수행됨.</t>
    <phoneticPr fontId="6" type="noConversion"/>
  </si>
  <si>
    <t>D00100=81·D00102=1·알람0·요청ID D00024=1·수락ID D00029=1·검사요청 D00022=0·D00204=600·생산 누계0 확인.
M 영역 원시비트는 이 사진 범위 밖임.</t>
    <phoneticPr fontId="6" type="noConversion"/>
  </si>
  <si>
    <t>TON T0005·설정 주소 D00204·설정값600 확인.
촬영 시 현재값0이므로 타이머 증가나 만료 시각의 근거로 사용하지 않음.</t>
    <phoneticPr fontId="6" type="noConversion"/>
  </si>
  <si>
    <r>
      <t>D00100=900·D00310=106·D00102=0·요청/수락ID1/1·검사 요청0·생산 누계0·D00204=600</t>
    </r>
    <r>
      <rPr>
        <sz val="10"/>
        <color rgb="FF1C2D3D"/>
        <rFont val="MS Gothic"/>
        <family val="3"/>
        <charset val="128"/>
      </rPr>
      <t>・</t>
    </r>
    <r>
      <rPr>
        <sz val="10"/>
        <color rgb="FF1C2D3D"/>
        <rFont val="Malgun Gothic"/>
        <family val="3"/>
        <charset val="129"/>
      </rPr>
      <t>M02100=0 확인.
알람 처리 후 수락 결과 초기화와 수락ID 보존을 구분함.</t>
    </r>
    <phoneticPr fontId="6" type="noConversion"/>
  </si>
  <si>
    <t>LabVIEW 오류5003 PLC 알람 또는 운전 불가·ATE_STATE50·ACTIVE_ID1·ACTIVE_RESULT1·ATE_READY OFF 확인.
ID1의 AUTO3300mV·PASS 검사 레코드가 남아 있으며 CSV와 일치함.</t>
    <phoneticPr fontId="6" type="noConversion"/>
  </si>
  <si>
    <t>M02013=0으로 고장 입력 해제 후에도 상태900·알람106 유지.
M02100=0·요청/수락ID1/1·생산 누계0 확인.</t>
    <phoneticPr fontId="6" type="noConversion"/>
  </si>
  <si>
    <t>모델 정리 후에도 상태900·알람106 유지.
M02013=0·M02100=0·요청/수락ID1/1·생산 누계0 확인.
공정RESET과 모델 정리의 역할을 구분함.</t>
    <phoneticPr fontId="6" type="noConversion"/>
  </si>
  <si>
    <t>공정RESET 후 상태10·알람0·부저OFF·공정 명령/감지OFF·생산 누계0 확인.
안전/문/복구조건ON이며 환경 허가와 기동가능은OFF로 표시됨.</t>
    <phoneticPr fontId="6" type="noConversion"/>
  </si>
  <si>
    <t>상태81·PASS 명령ON/도달OFF 확인.
영상82~85초 래더에서 M02013=1·M01103=1, 약86초 PASS 명령과 모사RUN OFF 확인.
상태81 진입부터 명령 차단까지 약60초이며 상태900·알람106은 약120초 화면에서 확인.
고장 해제 후 모델20 유지→모델 정리 후0·알람 유지→RESET 후10/0 확인.
연속 선택1에서64초 이상 무기동을 관측했으며 해당 구간은 환경 허가OFF임.
최종 단발0·요청/수락ID1/1·생산 누계0 확인.</t>
    <phoneticPr fontId="6" type="noConversion"/>
  </si>
  <si>
    <r>
      <t>헤더9열·데이터1행9필드.
요청ID1·AUTO·3300mV·하한3000mV·상한3600mV·PASS1</t>
    </r>
    <r>
      <rPr>
        <sz val="10"/>
        <color rgb="FF1C2D3D"/>
        <rFont val="MS Gothic"/>
        <family val="3"/>
        <charset val="128"/>
      </rPr>
      <t>・</t>
    </r>
    <r>
      <rPr>
        <sz val="10"/>
        <color rgb="FF1C2D3D"/>
        <rFont val="Malgun Gothic"/>
        <family val="3"/>
        <charset val="129"/>
      </rPr>
      <t>수락ID1.
캡처UTC11:26:53/KST20:26:53·수락UTC11:26:55/KST20:26:55.
검사 수락 기록이며 배출 완료 생산량 증가를 의미하지 않음.</t>
    </r>
    <phoneticPr fontId="6" type="noConversion"/>
  </si>
  <si>
    <t>RUN20261017-01-P14-A01</t>
  </si>
  <si>
    <t>P14_01_timeout107.mp4</t>
  </si>
  <si>
    <t>TOTAL/PASS/FAIL/RETEST 모두0→0.
요청ID D00024·수락ID D00029 모두0→1이며 최종1/1 보존.
CSV는 헤더 제외1행·9필드, ID1·AUTO·3300mV·기준3000~3600mV·PASS1·수락ID1.
캡처 KST21:14:28·수락21:14:30.
검사 수락 후 배출 완료 전 중단되어 생산 수량 증가0이 정상.
알람 후 D00102=0 초기화, LabVIEW 오류5003·ACTIVE_ID1·ACTIVE_RESULT1 확인.
최종 상태10·알람0·모델0·D01220=0·M02014=0·M02100=0·구동 명령6개OFF 확인.
P14_01_wait_ls1은 상태10·ID0을 표시하여 상태90 증거에서 제외하고 참고자료로 보존함.</t>
    <phoneticPr fontId="6" type="noConversion"/>
  </si>
  <si>
    <t>M02014 배출 미도달 고장 조건에서 상태90·제품 모델30·컨베이어 명령ON·배출 감지OFF·PASS 게이트 명령/도달ON 확인.
D00205=600의100ms 기준60초 설정 유지.
T0006 현재값51·설정600 사진 확보.
영상 약77초 상태90→약138초 상태900·알람107로 전환되어 HMI 표시 기준 약61초 관측.
알람 후 원시 구동 명령 M01100~M01105 모두0·M02100=0·검사 요청0 확인.
모델30과 PASS 도달 신호는 잔류함. 고장 입력 해제만으로 복구되지 않으며 모델 정리 후 모델0·PASS 도달OFF이나 알람107 유지.
별도 공정RESET 후 상태10·알람0으로 복구하고, 운전조건 정상·연속 선택1 상태에서24초 이상 무기동 확인. 시각은 자료 확보 범위 기준.</t>
    <phoneticPr fontId="6" type="noConversion"/>
  </si>
  <si>
    <t>P14_00_ready.png</t>
  </si>
  <si>
    <t>06_TEST\04_EVIDENCE\RUN-20261017-01\screens\P14_00_ready.png</t>
  </si>
  <si>
    <t>P14_00_ready_ls1.png</t>
  </si>
  <si>
    <t>06_TEST\04_EVIDENCE\RUN-20261017-01\screens\P14_00_ready_ls1.png</t>
  </si>
  <si>
    <t>초기 LS 상태10·알람0·D00102=0·요청ID D00024=0·수락ID D00029=0·생산 누계0·D00205=600 확인.</t>
  </si>
  <si>
    <t>P14_00_ready_ls2.png</t>
  </si>
  <si>
    <t>06_TEST\04_EVIDENCE\RUN-20261017-01\screens\P14_00_ready_ls2.png</t>
  </si>
  <si>
    <t>P14_01_wait_timer.png</t>
  </si>
  <si>
    <t>06_TEST\04_EVIDENCE\RUN-20261017-01\screens\P14_01_wait_timer.png</t>
  </si>
  <si>
    <t>P14_01_wait.png</t>
  </si>
  <si>
    <t>06_TEST\04_EVIDENCE\RUN-20261017-01\screens\P14_01_wait.png</t>
  </si>
  <si>
    <t>상태90 배출 이송·수락 결과PASS·알람0·컨베이어 명령ON·PASS 게이트 명령/도달ON·배출 감지OFF·클램프 명령/감지OFF·생산 누계0 확인.</t>
  </si>
  <si>
    <t>P14_01_wait_ls1.png</t>
  </si>
  <si>
    <t>06_TEST\04_EVIDENCE\RUN-20261017-01\screens\P14_01_wait_ls1.png</t>
  </si>
  <si>
    <t>P14_01_wait_ls2.png</t>
  </si>
  <si>
    <t>06_TEST\04_EVIDENCE\RUN-20261017-01\screens\P14_01_wait_ls2.png</t>
  </si>
  <si>
    <t>배출 미도달 대기 중 제품 모델 D01200=30·연속 선택 D01220=1 확인.</t>
  </si>
  <si>
    <t>P14_02_alarm.png</t>
  </si>
  <si>
    <t>06_TEST\04_EVIDENCE\RUN-20261017-01\screens\P14_02_alarm.png</t>
  </si>
  <si>
    <t>상태900·알람107 배출 시간 초과·화면상 공정 명령OFF·PASS 도달ON 잔류·배출 감지OFF·부저ON·생산 누계0 확인.</t>
  </si>
  <si>
    <t>P14_02_alarm_ls1.png</t>
  </si>
  <si>
    <t>06_TEST\04_EVIDENCE\RUN-20261017-01\screens\P14_02_alarm_ls1.png</t>
  </si>
  <si>
    <t>P14_02_alarm_ls2.png</t>
  </si>
  <si>
    <t>06_TEST\04_EVIDENCE\RUN-20261017-01\screens\P14_02_alarm_ls2.png</t>
  </si>
  <si>
    <t>알람 발생 후 제품 모델 D01200=30 잔류·연속 선택 D01220=1 확인.</t>
  </si>
  <si>
    <t>P14_02_alarm_io.png</t>
  </si>
  <si>
    <t>06_TEST\04_EVIDENCE\RUN-20261017-01\screens\P14_02_alarm_io.png</t>
  </si>
  <si>
    <t>P14_02_ate_error.png</t>
  </si>
  <si>
    <t>06_TEST\04_EVIDENCE\RUN-20261017-01\screens\P14_02_ate_error.png</t>
  </si>
  <si>
    <t>P14_02a_fault_clear1.png</t>
  </si>
  <si>
    <t>06_TEST\04_EVIDENCE\RUN-20261017-01\screens\P14_02a_fault_clear1.png</t>
  </si>
  <si>
    <t>P14_02a_fault_clear2.png</t>
  </si>
  <si>
    <t>06_TEST\04_EVIDENCE\RUN-20261017-01\screens\P14_02a_fault_clear2.png</t>
  </si>
  <si>
    <t>고장 입력 해제 후에도 제품 모델 D01200=30 유지·연속 선택 D01220=1 확인.</t>
  </si>
  <si>
    <t>P14_02b_model_clear1.png</t>
  </si>
  <si>
    <t>06_TEST\04_EVIDENCE\RUN-20261017-01\screens\P14_02b_model_clear1.png</t>
  </si>
  <si>
    <t>P14_02b_model_clear2.png</t>
  </si>
  <si>
    <t>06_TEST\04_EVIDENCE\RUN-20261017-01\screens\P14_02b_model_clear2.png</t>
  </si>
  <si>
    <t>P14_03_recovery.png</t>
  </si>
  <si>
    <t>06_TEST\04_EVIDENCE\RUN-20261017-01\screens\P14_03_recovery.png</t>
  </si>
  <si>
    <t>P14_03_recovery_ls1.png</t>
  </si>
  <si>
    <t>06_TEST\04_EVIDENCE\RUN-20261017-01\screens\P14_03_recovery_ls1.png</t>
  </si>
  <si>
    <t>최종 상태10·알람0·D00102=0·요청ID1·수락ID1 보존·D00205=600·생산 누계0·M02014=0·M02100=0·구동 명령6개OFF 확인.</t>
  </si>
  <si>
    <t>P14_03_recovery_ls2.png</t>
  </si>
  <si>
    <t>06_TEST\04_EVIDENCE\RUN-20261017-01\screens\P14_03_recovery_ls2.png</t>
  </si>
  <si>
    <t>06_TEST\04_EVIDENCE\RUN-20261017-01\video\P14_01_timeout107.mp4</t>
  </si>
  <si>
    <t>P14_01_ate.csv</t>
  </si>
  <si>
    <t>06_TEST\04_EVIDENCE\RUN-20261017-01\csv\P14_01_ate.csv</t>
  </si>
  <si>
    <t>TON T0006·설정 주소 D00205·현재값51·설정값600 확인.
배출 대기 중 타이머 적산값과 제한시간 설정 근거.</t>
    <phoneticPr fontId="6" type="noConversion"/>
  </si>
  <si>
    <t>참고자료. 실제 표시값은 상태10·D00102=0·요청/수락ID0/0·알람0·D00205=600·생산 누계0임.
상태90 대기 및 ID1 수락의 근거로 사용하지 않음.</t>
    <phoneticPr fontId="6" type="noConversion"/>
  </si>
  <si>
    <t>D00100=900·D00310=107·D00102=0·요청ID1·수락ID1·검사 요청0·D00205=600·생산 누계0 확인.
알람 후에도 수락ID는 보존됨.</t>
    <phoneticPr fontId="6" type="noConversion"/>
  </si>
  <si>
    <t>M0110 워드0x0300으로 구동 명령 M01100~M01105 모두0·알람/부저 M01108/M01109=1 확인.
M0201 워드0x0010으로 M02014=1, M0210 워드0x0006으로 M02100=0 확인.</t>
    <phoneticPr fontId="6" type="noConversion"/>
  </si>
  <si>
    <t>LabVIEW 오류5003 PLC 알람 또는 운전 불가·ATE_STATE50·ACTIVE_ID1·ACTIVE_RESULT1·ATE_READY OFF 확인.
ID1의 AUTO3300mV·PASS 검사 레코드와 P14 CSV 경로 확인.</t>
    <phoneticPr fontId="6" type="noConversion"/>
  </si>
  <si>
    <t>고장 해제 단계에서 상태900·알람107·요청/수락ID1/1·생산 누계0 유지 확인.
M02014 해제 자체는 영상으로 보완.</t>
    <phoneticPr fontId="6" type="noConversion"/>
  </si>
  <si>
    <t>모델 정리 후에도 상태900·알람107 유지. 요청/수락ID1/1·생산 누계0 확인.
모델 정리와 공정RESET의 역할을 구분함.</t>
    <phoneticPr fontId="6" type="noConversion"/>
  </si>
  <si>
    <t>공정RESET 후 상태10·알람0·운전조건4개ON·기동가능ON·공정 명령/감지/부저OFF·생산 누계0 확인.
단발 선택으로 복원된 화면.</t>
    <phoneticPr fontId="6" type="noConversion"/>
  </si>
  <si>
    <t>영상 약77초 상태90→약138초 상태900·알람107 전환으로 HMI 표시 기준 약61초 관측.
컨베이어ON·배출 감지OFF·PASS 명령/도달ON에서 타임아웃 후 명령OFF·PASS 도달 잔류 확인.
고장 해제만으로 모델30 유지→모델 정리 후 모델0·PASS 도달OFF이나 알람107 유지→별도RESET으로10/0 복구 확인.
운전조건 정상·연속 선택1에서24초 이상 무기동과 최종 단발0·요청/수락ID1/1·생산 누계0 확인.</t>
    <phoneticPr fontId="6" type="noConversion"/>
  </si>
  <si>
    <t>헤더9열·데이터1행9필드.
요청ID1·AUTO·3300mV·하한3000mV·상한3600mV·PASS1·수락ID1.
캡처UTC12:14:28/KST21:14:28·수락UTC12:14:30/KST21:14:30.
검사 수락 기록이며 배출 완료 생산량 증가를 의미하지 않음.</t>
    <phoneticPr fontId="6" type="noConversion"/>
  </si>
  <si>
    <t>RUN20261017-01-P15-A01</t>
  </si>
  <si>
    <t>P15_01_timeout109.mp4</t>
  </si>
  <si>
    <t>M02015=1에서 상태100·수락 결과PASS·게이트 명령OFF/PASS 도달ON·배출 감지ON·제품 모델40 유지 확인.
D00207=600의100ms 기준60초 설정을 유지하고 T0008 현재값52 사진 확보.
영상 약27초 상태100→약87초 상태900·알람109 전환으로 약60초 관측.
원시 구동 명령 M01100~M01105 모두0·M02100=0·검사 요청0 확인.
고장 입력 해제만으로 상태900·알람109·모델40·배출/PASS 도달ON 유지.
모델 정리 후 모델0·배출/PASS 도달OFF이나 알람109 유지, 별도 공정RESET 후 상태10·알람0으로 복구.
운전조건4개ON·연속 선택1에서28초 이상 새 START 없이 정지 확인.
시각은 자료 확보 범위 기준.</t>
    <phoneticPr fontId="6" type="noConversion"/>
  </si>
  <si>
    <t>TOTAL/PASS/FAIL/RETEST 모두0→0.
요청ID D00024·수락ID D00029 모두0→1이며 최종1/1 보존.
CSV는 헤더 제외1행·9필드, ID1·AUTO·3300mV·기준3000~3600mV·PASS1·수락ID1.
캡처 KST13:05:34·수락13:05:35.
검사 수락 후 Home 복귀를 완료하지 못해 생산 수량 증가0이 정상.
알람 후 D00102=0 초기화, LabVIEW 오류5003·ACTIVE_ID1·ACTIVE_RESULT1 확인.
최종 상태10·알람0·모델0·D01220=0·M02015=0·M02100=0·표시 공정 명령OFF 확인.
원시 M0006A 직접값은 사진에서 확보하지 않았으며 M0060 행을 해당 주소의 근거로 사용하지 않음.</t>
    <phoneticPr fontId="6" type="noConversion"/>
  </si>
  <si>
    <t>P15_00_ready.png</t>
  </si>
  <si>
    <t>06_TEST\04_EVIDENCE\RUN-20261017-01\screens\P15_00_ready.png</t>
  </si>
  <si>
    <t>P15_00_ready_ls1.png</t>
  </si>
  <si>
    <t>06_TEST\04_EVIDENCE\RUN-20261017-01\screens\P15_00_ready_ls1.png</t>
  </si>
  <si>
    <t>초기 LS 상태10·알람0·D00102=0·요청ID D00024=0·수락ID D00029=0·D00207=600·생산 누계0 확인.</t>
  </si>
  <si>
    <t>P15_00_ready_ls2.png</t>
  </si>
  <si>
    <t>06_TEST\04_EVIDENCE\RUN-20261017-01\screens\P15_00_ready_ls2.png</t>
  </si>
  <si>
    <t>P15_01_wait_timer.png</t>
  </si>
  <si>
    <t>06_TEST\04_EVIDENCE\RUN-20261017-01\screens\P15_01_wait_timer.png</t>
  </si>
  <si>
    <t>P15_01_wait.png</t>
  </si>
  <si>
    <t>06_TEST\04_EVIDENCE\RUN-20261017-01\screens\P15_01_wait.png</t>
  </si>
  <si>
    <t>상태100 게이트 복귀·수락 결과PASS·배출 감지ON·PASS 명령OFF/도달ON·다른 게이트 도달OFF·알람0·생산 누계0 확인.</t>
  </si>
  <si>
    <t>P15_01_wait_ls1.png</t>
  </si>
  <si>
    <t>06_TEST\04_EVIDENCE\RUN-20261017-01\screens\P15_01_wait_ls1.png</t>
  </si>
  <si>
    <t>D00100=100·D00102=1·요청ID1·수락ID1·검사 요청0·D00207=600·알람0·생산 누계0 확인.</t>
  </si>
  <si>
    <t>P15_01_wait_ls2.png</t>
  </si>
  <si>
    <t>06_TEST\04_EVIDENCE\RUN-20261017-01\screens\P15_01_wait_ls2.png</t>
  </si>
  <si>
    <t>Home 복귀 대기 중 제품 모델 D01200=40·연속 선택 D01220=1 확인.</t>
  </si>
  <si>
    <t>P15_02_alarm.png</t>
  </si>
  <si>
    <t>06_TEST\04_EVIDENCE\RUN-20261017-01\screens\P15_02_alarm.png</t>
  </si>
  <si>
    <t>상태900·알람109 게이트 복귀 시간 초과·공정 명령OFF·배출 감지ON·PASS 도달ON 잔류·부저ON·생산 누계0 확인.</t>
  </si>
  <si>
    <t>P15_02_alarm_ls1.png</t>
  </si>
  <si>
    <t>06_TEST\04_EVIDENCE\RUN-20261017-01\screens\P15_02_alarm_ls1.png</t>
  </si>
  <si>
    <t>D00100=900·D00310=109·D00102=0·요청/수락ID1/1·검사 요청0·D00207=600·생산 누계0 확인.</t>
  </si>
  <si>
    <t>P15_02_alarm_ls2.png</t>
  </si>
  <si>
    <t>06_TEST\04_EVIDENCE\RUN-20261017-01\screens\P15_02_alarm_ls2.png</t>
  </si>
  <si>
    <t>알람 발생 후 제품 모델 D01200=40 잔류·연속 선택 D01220=1 확인.</t>
  </si>
  <si>
    <t>P15_02_alarm_io.png</t>
  </si>
  <si>
    <t>06_TEST\04_EVIDENCE\RUN-20261017-01\screens\P15_02_alarm_io.png</t>
  </si>
  <si>
    <t>P15_02_ate_error.png</t>
  </si>
  <si>
    <t>06_TEST\04_EVIDENCE\RUN-20261017-01\screens\P15_02_ate_error.png</t>
  </si>
  <si>
    <t>P15_02a_fault_clear1.png</t>
  </si>
  <si>
    <t>06_TEST\04_EVIDENCE\RUN-20261017-01\screens\P15_02a_fault_clear1.png</t>
  </si>
  <si>
    <t>P15_02a_fault_clear2.png</t>
  </si>
  <si>
    <t>06_TEST\04_EVIDENCE\RUN-20261017-01\screens\P15_02a_fault_clear2.png</t>
  </si>
  <si>
    <t>고장 입력 해제 후에도 제품 모델 D01200=40 유지·연속 선택 D01220=1 확인.</t>
  </si>
  <si>
    <t>P15_02b_model_clear1.png</t>
  </si>
  <si>
    <t>06_TEST\04_EVIDENCE\RUN-20261017-01\screens\P15_02b_model_clear1.png</t>
  </si>
  <si>
    <t>P15_02b_model_clear2.png</t>
  </si>
  <si>
    <t>06_TEST\04_EVIDENCE\RUN-20261017-01\screens\P15_02b_model_clear2.png</t>
  </si>
  <si>
    <t>P15_03_recovery.png</t>
  </si>
  <si>
    <t>06_TEST\04_EVIDENCE\RUN-20261017-01\screens\P15_03_recovery.png</t>
  </si>
  <si>
    <t>P15_03_recovery_ls1.png</t>
  </si>
  <si>
    <t>06_TEST\04_EVIDENCE\RUN-20261017-01\screens\P15_03_recovery_ls1.png</t>
  </si>
  <si>
    <t>최종 상태10·알람0·D00102=0·요청ID1·수락ID1 보존·D00207=600·생산 누계0·M02100=0 확인.</t>
  </si>
  <si>
    <t>P15_03_recovery_ls2.png</t>
  </si>
  <si>
    <t>06_TEST\04_EVIDENCE\RUN-20261017-01\screens\P15_03_recovery_ls2.png</t>
  </si>
  <si>
    <t>06_TEST\04_EVIDENCE\RUN-20261017-01\video\P15_01_timeout109.mp4</t>
  </si>
  <si>
    <t>P15_01_ate.csv</t>
  </si>
  <si>
    <t>06_TEST\04_EVIDENCE\RUN-20261017-01\csv\P15_01_ate.csv</t>
  </si>
  <si>
    <t>상태10·Auto0·알람0·생산 누계4개 모두0·운전조건4개ON·기동가능ON·공정 명령/감지/부저OFF 확인.
촬영 시 단발 선택 상태.</t>
    <phoneticPr fontId="6" type="noConversion"/>
  </si>
  <si>
    <t>TON T0008·설정 주소 D00207·현재값52·설정값600 확인.
Home 복귀 대기 중 적산값과 60초 제한시간 설정 근거.</t>
    <phoneticPr fontId="6" type="noConversion"/>
  </si>
  <si>
    <t>M0110 워드0x0300으로 M01100~M01105 모두0·M01108/M01109=1 확인.
M0201 워드0x0020으로 M02015=1, M0210 워드0x0006으로 M02100=0 확인.
M0100 워드0x12C1에서 배출 감지와 PASS 도달ON 확인.</t>
    <phoneticPr fontId="6" type="noConversion"/>
  </si>
  <si>
    <t>LabVIEW 오류5003 PLC 알람 또는 운전 불가·ATE_STATE50·ACTIVE_ID1·ACTIVE_RESULT1·ATE_READY OFF 확인.
ID1의 AUTO3300mV·PASS 검사 레코드와 P15 CSV 경로 확인.</t>
    <phoneticPr fontId="6" type="noConversion"/>
  </si>
  <si>
    <t>고장 해제 단계에서 상태900·알람109·요청/수락ID1/1·D00207=600·생산 누계0 유지 확인.
M02015 해제 조작은 영상으로 보완.</t>
    <phoneticPr fontId="6" type="noConversion"/>
  </si>
  <si>
    <t>모델 정리 후에도 상태900·알람109·요청/수락ID1/1·생산 누계0 유지 확인.
상단 M0060 행은 M0006A의 주소 영역이 아니므로 원시 Home 판정값 근거로 사용하지 않음.</t>
    <phoneticPr fontId="6" type="noConversion"/>
  </si>
  <si>
    <t>영상 약27초 상태100→약87초 상태900·알람109 전환으로 약60초 관측.
PASS 명령OFF이나 도달ON·배출 감지ON·모델40 잔류 확인.
약190초 M02015=0 해제 후에도 고장 상태와 제품 자세 유지.
모델 정리로 모델0·배출/PASS 도달OFF이나 알람109 유지, 별도RESET 후10/0 복구 확인.
운전조건4개ON·연속 선택1에서28초 이상 무기동, 최종 단발0·요청/수락ID1/1·생산 누계0 확인.</t>
    <phoneticPr fontId="6" type="noConversion"/>
  </si>
  <si>
    <t>헤더9열·데이터1행9필드.
요청ID1·AUTO·3300mV·하한3000mV·상한3600mV·PASS1·수락ID1.
캡처UTC04:05:34/KST13:05:34·수락UTC04:05:35/KST13:05:35.
검사 수락 후 Home 복귀 실패로 생산량 증가0.</t>
    <phoneticPr fontId="6" type="noConversion"/>
  </si>
  <si>
    <t>RUN20261017-01-P17-A02</t>
  </si>
  <si>
    <t>P17_01_timeout103.mp4</t>
  </si>
  <si>
    <t>두 번째 실행 요청ID1·수락ID0, TOTAL/PASS/FAIL/RETEST 모두0 유지.
D00020/D00021/D00025=0, 수락 증가0건.
P17_01_no_response.csv 및 P17_02_recovery.csv는 현재 미생성.
선행 시도와 재RUN 후의 같은 ID1을 동일 요청으로 합치지 않음.
최종 모델0·단발0·상태10·알람0 확인.
별도 최종 사진에서 ATE_READY/PLC_LIVE_OK ON·ACTIVE_ID0·레코드 공백 확인.
ATE 재실행 이후의 무기동 지속시간은 별도 측정하지 않음.</t>
    <phoneticPr fontId="6" type="noConversion"/>
  </si>
  <si>
    <t>06_TEST\04_EVIDENCE\RUN-20261017-01\video\P17_01_timeout103.mp4</t>
  </si>
  <si>
    <t>P17_00_ready.png</t>
  </si>
  <si>
    <t>06_TEST\04_EVIDENCE\RUN-20261017-01\screens\P17_00_ready.png</t>
  </si>
  <si>
    <t>선행 시도 참고. 상태10·Auto0·알람0·운전조건4개ON·기동가능ON·생산 누계0·단발 선택 확인.</t>
  </si>
  <si>
    <t>P17_00_ready_ls1.png</t>
  </si>
  <si>
    <t>06_TEST\04_EVIDENCE\RUN-20261017-01\screens\P17_00_ready_ls1.png</t>
  </si>
  <si>
    <t>선행 시도 참고. D00100=10·D00310=0·요청ID0·수락ID0·D00020/D00021/D00025=0·누계0·D00202=1200 확인.</t>
  </si>
  <si>
    <t>P17_00_ready_ls2.png</t>
  </si>
  <si>
    <t>06_TEST\04_EVIDENCE\RUN-20261017-01\screens\P17_00_ready_ls2.png</t>
  </si>
  <si>
    <t>선행 시도 참고. 제품 모델 D01200=0·단발 선택 D01220=0 확인.</t>
  </si>
  <si>
    <t>P17_00_ate_stopped.png</t>
  </si>
  <si>
    <t>06_TEST\04_EVIDENCE\RUN-20261017-01\screens\P17_00_ate_stopped.png</t>
  </si>
  <si>
    <t>P17_01_wait_timer.png</t>
  </si>
  <si>
    <t>06_TEST\04_EVIDENCE\RUN-20261017-01\screens\P17_01_wait_timer.png</t>
  </si>
  <si>
    <t>P17_01_wait.png</t>
  </si>
  <si>
    <t>06_TEST\04_EVIDENCE\RUN-20261017-01\screens\P17_01_wait.png</t>
  </si>
  <si>
    <t>P17_01_wait_ls1.png</t>
  </si>
  <si>
    <t>06_TEST\04_EVIDENCE\RUN-20261017-01\screens\P17_01_wait_ls1.png</t>
  </si>
  <si>
    <t>P17_01_wait_ls2.png</t>
  </si>
  <si>
    <t>06_TEST\04_EVIDENCE\RUN-20261017-01\screens\P17_01_wait_ls2.png</t>
  </si>
  <si>
    <t>선행 시도 참고. 제품 모델 D01200=20·연속 선택 D01220=1 확인.</t>
  </si>
  <si>
    <t>P17_01_wait_io.png</t>
  </si>
  <si>
    <t>06_TEST\04_EVIDENCE\RUN-20261017-01\screens\P17_01_wait_io.png</t>
  </si>
  <si>
    <t>P17_02_alarm.png</t>
  </si>
  <si>
    <t>06_TEST\04_EVIDENCE\RUN-20261017-01\screens\P17_02_alarm.png</t>
  </si>
  <si>
    <t>P17_02_alarm_ls2.png</t>
  </si>
  <si>
    <t>06_TEST\04_EVIDENCE\RUN-20261017-01\screens\P17_02_alarm_ls2.png</t>
  </si>
  <si>
    <t>알람 뒤에도 제품 모델 D01200=20·연속 선택 D01220=1 잔류 확인.</t>
  </si>
  <si>
    <t>P17_02_alarm_ls1.png</t>
  </si>
  <si>
    <t>06_TEST\04_EVIDENCE\RUN-20261017-01\screens\P17_02_alarm_ls1.png</t>
  </si>
  <si>
    <t>D00100=900·D00310=103·D00022=0·요청ID1·수락ID0·D00020/D00021/D00025=0·D00102=0·D00202=1200·누계0 확인.</t>
  </si>
  <si>
    <t>P17_02_alarm_io.png</t>
  </si>
  <si>
    <t>06_TEST\04_EVIDENCE\RUN-20261017-01\screens\P17_02_alarm_io.png</t>
  </si>
  <si>
    <t>P17_02_alarm_history.png</t>
  </si>
  <si>
    <t>06_TEST\04_EVIDENCE\RUN-20261017-01\screens\P17_02_alarm_history.png</t>
  </si>
  <si>
    <t>P17_02_csv_no_accept.png</t>
  </si>
  <si>
    <t>06_TEST\04_EVIDENCE\RUN-20261017-01\screens\P17_02_csv_no_accept.png</t>
  </si>
  <si>
    <t>P17_02b_model_clear1.png</t>
  </si>
  <si>
    <t>06_TEST\04_EVIDENCE\RUN-20261017-01\screens\P17_02b_model_clear1.png</t>
  </si>
  <si>
    <t>모델 정리 후에도 상태900·알람103·요청ID1·수락ID0·검사 요청0·응답 워드0·생산 누계0 유지 확인.</t>
  </si>
  <si>
    <t>P17_02b_model_clear2.png</t>
  </si>
  <si>
    <t>06_TEST\04_EVIDENCE\RUN-20261017-01\screens\P17_02b_model_clear2.png</t>
  </si>
  <si>
    <t>P17_03_recovery.png</t>
  </si>
  <si>
    <t>06_TEST\04_EVIDENCE\RUN-20261017-01\screens\P17_03_recovery.png</t>
  </si>
  <si>
    <t>공정 RESET 후 상태10·알람0·운전조건4개ON·기동가능ON·구동 명령/감지/부저OFF·누계0·단발 선택 확인.</t>
  </si>
  <si>
    <t>P17_03_recovery_ls2.png</t>
  </si>
  <si>
    <t>06_TEST\04_EVIDENCE\RUN-20261017-01\screens\P17_03_recovery_ls2.png</t>
  </si>
  <si>
    <t>P17_03_recovery_ls1.png</t>
  </si>
  <si>
    <t>06_TEST\04_EVIDENCE\RUN-20261017-01\screens\P17_03_recovery_ls1.png</t>
  </si>
  <si>
    <t>P17_03_ate_ready.png</t>
  </si>
  <si>
    <t>06_TEST\04_EVIDENCE\RUN-20261017-01\screens\P17_03_ate_ready.png</t>
  </si>
  <si>
    <t>두 번째 실행 영상.
ATE 무응답 대기 후900/103 전환, 모델 정리와 RESET의 분리 동작 확인.
RESET 후 연속 선택1에서38초 이상 새 START 없이 대기, 최종 요청ID1·수락ID0·생산 누계0 확인.
LS 시간 수동 진행은 시험자 확인이며 실제120초 자연경과 측정에는 사용하지 않음.
ATE 복구 Run 화면은 최종 별도 사진으로 보완함.</t>
    <phoneticPr fontId="6" type="noConversion"/>
  </si>
  <si>
    <t>선행 시도 참고. VirtualATE 사용자 정지 메시지·ATE_READY OFF·오류code0·ACTIVE_ID0·레코드 공백 확인.
로그 경로 P17_01_no_response.csv 지정.
PLC_LIVE_OK의 잔존 표시는 VI 실행 근거로 사용하지 않음.</t>
    <phoneticPr fontId="6" type="noConversion"/>
  </si>
  <si>
    <t>선행 시도 참고. T0003 현재값17·설정값1200 확인.
타이머 설정 근거이며 실제120초 경과 근거는 아님.</t>
    <phoneticPr fontId="6" type="noConversion"/>
  </si>
  <si>
    <t>선행 시도 참고.
상태60·검사 위치 감지ON·클램프 명령/닫힘ON·알람0·누계0·연속 선택 확인.</t>
    <phoneticPr fontId="6" type="noConversion"/>
  </si>
  <si>
    <t>선행 시도 참고.
D00100=60·D00022=1·요청ID1·수락ID0·D00020/D00021/D00025=0·D00310=0·D00202=1200·누계0 확인.</t>
    <phoneticPr fontId="6" type="noConversion"/>
  </si>
  <si>
    <t>ATE 정지 상태에서 검사 대기60 후 알람103·상태900 전환, 검사 요청0·M01100~M01105=0·M02100=0 확인.
모델 정리로 모델0이 되어도 알람103 유지, 별도 RESET 후10/0 복구.
연속 선택1에서 영상 기준38초 이상 새 START 없이 대기.
촬영을 위해 선행 시도 뒤 LS STOP 후 RUN하여 재실행함.
대기 중 LS 시간 수동 진행 조작은 시험자 확인이며 조작 주소·값은 미기록.
D00202=1200 설정은 사진으로 확인.
타이머 시간을 수동 진행한 고장 처리 기능시험 합격.
시각은 두 번째 실행의 자료 확보 범위이며 실제 START·종료 조작 시각이 아님.</t>
    <phoneticPr fontId="6" type="noConversion"/>
  </si>
  <si>
    <t>두 번째 실행 대기.
M0210=000D로 M02100=1 확인. 장치 고장 주입 M02010~M02015=0.
파일 수정시각 기준으로 분류함.</t>
    <phoneticPr fontId="6" type="noConversion"/>
  </si>
  <si>
    <t>상태900·알람103 검사 유효 응답 시간 초과 확인.
클램프 닫힘 감지는 잔류하고 구동 명령OFF·부저ON·누계0 확인.</t>
    <phoneticPr fontId="6" type="noConversion"/>
  </si>
  <si>
    <t>M0110=0300으로 구동 명령 M01100~M01105 모두0, 알람/부저 M01108/M01109=1 확인.
M0210=0006으로 M02100=0 확인. 장치 고장 주입0.</t>
    <phoneticPr fontId="6" type="noConversion"/>
  </si>
  <si>
    <t>알람103 발생14:44:08·해제14:45:34·재발14:48:06·인식14:49:37 확인.
촬영 재실행과 LS STOP 후 RUN은 시험자 확인. 두 발생을 하나의 연속 실행으로 기록하지 않음.</t>
    <phoneticPr fontId="6" type="noConversion"/>
  </si>
  <si>
    <t>CSV 폴더 목록에서 P17 파일 미생성 확인.
현재 실제 폴더 검색에서도 P17 CSV 없음.
ATE 수락0건에 따른 미생성으로 기록하며 존재하지 않는 CSV를 증거목록에 별도 등록하지 않음.</t>
    <phoneticPr fontId="6" type="noConversion"/>
  </si>
  <si>
    <t>모델 정리 후 제품 모델 D01200=0·연속 선택 D01220=1 확인.
알람 해제와 모델 정리를 분리해 확인함.</t>
    <phoneticPr fontId="6" type="noConversion"/>
  </si>
  <si>
    <t>최종 D00100=10·D00310=0·D00022=0·요청ID1·수락ID0·D00020/D00021/D00025=0·D00202=1200·누계0 확인.
M02100은 화면에서 잘려 이 사진의 직접 확인값으로 사용하지 않음.</t>
    <phoneticPr fontId="6" type="noConversion"/>
  </si>
  <si>
    <t>ATE 재실행 뒤 ATE_READY/PLC_LIVE_OK ON·오류code0·ACTIVE_ID/RESULT0·레코드 공백·새 검사 요청 대기 확인.
로그 경로 P17_02_recovery.csv 지정.
이 사진만으로 재실행 후 무기동 지속시간을 판단하지 않음.</t>
    <phoneticPr fontId="6" type="noConversion"/>
  </si>
  <si>
    <t>RUN20261017-01-P16-A01</t>
  </si>
  <si>
    <t>P16_01_restart.mp4</t>
  </si>
  <si>
    <t>선행 연속 운전 중 M02100=1 확인.
정상 정지 후 D01220=1 선택 상태에서 LS STOP 후 RUN.
재RUN 직후 D01220=0·M02100=0·모델0·안전 보조신호OFF·상태0·알람1·요청/수락ID0/0·생산 누계0 확인.
복구 후 영상 약130.1~165.9초에 상태10·알람0·운전조건4개ON·누계0 상태로35.8초간 새 START 없이 대기.
별도 사진에서 ATE_READY/PLC_LIVE_OK ON 확인.
새 START1회 후 정상 PASS1제품 완료·단발 대기 확인.
시각은 자료 확보 범위 기준.</t>
    <phoneticPr fontId="6" type="noConversion"/>
  </si>
  <si>
    <t>재RUN 전 TOTAL/PASS/FAIL/RETEST는0/0/0/0에서9/9/0/0, 최종 요청/수락ID9/9.
재RUN 직후 누계0·요청/수락ID0/0, 이후 새 START로1/1/0/0·ID1/1.
이전 CSV9행(ID1~9), 새 CSV1행(ID1)을 분리 보존하며 서로 다른 RUN의 ID1을 동일 제품으로 합치지 않음.
재RUN 직전 M02100은 단발 정상 종료로 이미0이었으므로 활성 기억1을 재RUN이 직접 해제한 시험으로 기록하지 않음.
CSV2개는 시험 후 csv 폴더로 이동했으며 실제 보관 경로로 등록함.
최종 상태10·알람0·모델0·D01220=0·M02100=0 확인.</t>
    <phoneticPr fontId="6" type="noConversion"/>
  </si>
  <si>
    <t>P16_00_ready_ls1.png</t>
  </si>
  <si>
    <t>06_TEST\04_EVIDENCE\RUN-20261017-01\screens\P16_00_ready_ls1.png</t>
  </si>
  <si>
    <t>P16_01_running.png</t>
  </si>
  <si>
    <t>06_TEST\04_EVIDENCE\RUN-20261017-01\screens\P16_01_running.png</t>
  </si>
  <si>
    <t>P16_01_running_ls1.png</t>
  </si>
  <si>
    <t>06_TEST\04_EVIDENCE\RUN-20261017-01\screens\P16_01_running_ls1.png</t>
  </si>
  <si>
    <t>P16_01_running_ls2.png</t>
  </si>
  <si>
    <t>06_TEST\04_EVIDENCE\RUN-20261017-01\screens\P16_01_running_ls2.png</t>
  </si>
  <si>
    <t>P16_02_before_run_ls1.png</t>
  </si>
  <si>
    <t>06_TEST\04_EVIDENCE\RUN-20261017-01\screens\P16_02_before_run_ls1.png</t>
  </si>
  <si>
    <t>P16_02_before_run_ls2.png</t>
  </si>
  <si>
    <t>06_TEST\04_EVIDENCE\RUN-20261017-01\screens\P16_02_before_run_ls2.png</t>
  </si>
  <si>
    <t>P16_03_after_run_ls1.png</t>
  </si>
  <si>
    <t>06_TEST\04_EVIDENCE\RUN-20261017-01\screens\P16_03_after_run_ls1.png</t>
  </si>
  <si>
    <t>P16_03_after_run_ls2.png</t>
  </si>
  <si>
    <t>06_TEST\04_EVIDENCE\RUN-20261017-01\screens\P16_03_after_run_ls2.png</t>
  </si>
  <si>
    <t>P16_04_ate_ready.png</t>
  </si>
  <si>
    <t>06_TEST\04_EVIDENCE\RUN-20261017-01\screens\P16_04_ate_ready.png</t>
  </si>
  <si>
    <t>P16_04_ready.png</t>
  </si>
  <si>
    <t>06_TEST\04_EVIDENCE\RUN-20261017-01\screens\P16_04_ready.png</t>
  </si>
  <si>
    <t>복구 후 상태10·알람0·운전조건4개ON·기동가능ON·명령/감지OFF·생산 누계0·단발 선택 확인.</t>
  </si>
  <si>
    <t>P16_05_after_start.png</t>
  </si>
  <si>
    <t>06_TEST\04_EVIDENCE\RUN-20261017-01\screens\P16_05_after_start.png</t>
  </si>
  <si>
    <t>새 START 후 상태10·알람0·수락 결과PASS·TOTAL1·PASS1·FAIL0·RETEST0·운전조건4개ON·단발 대기 확인.</t>
  </si>
  <si>
    <t>P16_05_after_start_ls1.png</t>
  </si>
  <si>
    <t>06_TEST\04_EVIDENCE\RUN-20261017-01\screens\P16_05_after_start_ls1.png</t>
  </si>
  <si>
    <t>P16_05_after_start_ls2.png</t>
  </si>
  <si>
    <t>06_TEST\04_EVIDENCE\RUN-20261017-01\screens\P16_05_after_start_ls2.png</t>
  </si>
  <si>
    <t>최종 모델 D01200=0·단발 선택 D01220=0 확인.</t>
  </si>
  <si>
    <t>06_TEST\04_EVIDENCE\RUN-20261017-01\video\P16_01_restart.mp4</t>
  </si>
  <si>
    <t>P16_01_before_run.csv</t>
  </si>
  <si>
    <t>06_TEST\04_EVIDENCE\RUN-20261017-01\csv\P16_01_before_run.csv</t>
  </si>
  <si>
    <t>P16_02_after_run.csv</t>
  </si>
  <si>
    <t>06_TEST\04_EVIDENCE\RUN-20261017-01\csv\P16_02_after_run.csv</t>
  </si>
  <si>
    <t>초기 상태10·알람0·요청ID0·수락ID0·생산 누계0 확인.
안전/문/환경 정상·M02100=0 확인.</t>
    <phoneticPr fontId="6" type="noConversion"/>
  </si>
  <si>
    <t>연속 운전 중 상태60·검사 응답 대기·클램프 명령/닫힘ON 확인.
TOTAL1·PASS1·FAIL0·RETEST0·알람0.</t>
    <phoneticPr fontId="6" type="noConversion"/>
  </si>
  <si>
    <t>연속 운전 중 상태90·수락 결과1·요청ID4·수락ID4·TOTAL3·PASS3 확인.
M0210=000D로 M02100=1 직접 확인.</t>
    <phoneticPr fontId="6" type="noConversion"/>
  </si>
  <si>
    <t>연속 운전 중 모델 D01200=10·D01220=1 확인.
다른 순환 시점이므로 running_ls1의 상태90과 동시값으로 합치지 않음.</t>
    <phoneticPr fontId="6" type="noConversion"/>
  </si>
  <si>
    <t>정상 정지 후 상태10·알람0·요청ID9·수락ID9·TOTAL9·PASS9·FAIL0·RETEST0 확인.
구동 명령6개0·M02100=0.</t>
    <phoneticPr fontId="6" type="noConversion"/>
  </si>
  <si>
    <t>재RUN 전 모델 D01200=0·연속 선택 D01220=1 확인.
선택만으로 기동하지 않은 상태.</t>
    <phoneticPr fontId="6" type="noConversion"/>
  </si>
  <si>
    <t>재RUN 직후 상태0·알람1·요청ID0·수락ID0·생산 누계0 확인.
안전 M01000=0·문1·M02100=0·구동 명령6개0.</t>
    <phoneticPr fontId="6" type="noConversion"/>
  </si>
  <si>
    <t>재RUN 직후 모델 D01200=0·단발 선택 D01220=0 확인.
재RUN 전 선택1에서0으로 초기화됨.</t>
    <phoneticPr fontId="6" type="noConversion"/>
  </si>
  <si>
    <t>ATE_READY/PLC_LIVE_OK ON·오류code0·ACTIVE_ID/RESULT0·레코드 공백·새 검사 요청 대기 확인.
촬영 시 CSV 경로는 RUN 폴더 바로 아래였으며 시험 후 csv 폴더로 이동 보관함.</t>
    <phoneticPr fontId="6" type="noConversion"/>
  </si>
  <si>
    <t>최종 상태10·알람0·수락 결과1·요청ID1·수락ID1·TOTAL1·PASS1·나머지0 확인.
안전 M01000=1·구동 명령6개0·M02100=0.</t>
    <phoneticPr fontId="6" type="noConversion"/>
  </si>
  <si>
    <t>재RUN 초기화와 정상 준비 복구 확인.
영상 약130.1~165.9초에 상태10·알람0·운전조건4개ON·누계0인 무START 대기35.8초 확인.
약166.1초 상태20 진입 후174.1초 TOTAL1·PASS1,174.5초 감지OFF·기동가능ON 확인.
ATE_READY는 별도 사진으로 확인.</t>
    <phoneticPr fontId="6" type="noConversion"/>
  </si>
  <si>
    <t>헤더9열·데이터9행, 요청ID1~9와 각 수락ID 일치.
전부 AUTO·3300mV·하한3000·상한3600·PASS1.
캡처 KST16:04:50~16:05:59·수락16:04:52~16:06:01.
시험 후 csv 폴더로 이동 보관.</t>
    <phoneticPr fontId="6" type="noConversion"/>
  </si>
  <si>
    <t>헤더9열·데이터1행, 새 RUN의 요청ID1·수락ID1·AUTO·3300mV·기준3000~3600·PASS1.
캡처 KST16:10:17·수락16:10:18.
이전 RUN의 ID1과 별도 제품으로 구분.
시험 후 csv 폴더로 이동 보관.</t>
    <phoneticPr fontId="6" type="noConversion"/>
  </si>
  <si>
    <t>RUN20261017-01-AE08-A01</t>
  </si>
  <si>
    <t>AE08_01_power_loss_recovery.mp4</t>
  </si>
  <si>
    <t>ESP 전원 상실 시험에서 센서 중계108·RUN0·발행 미갱신4.0초 확인.
원시 VALID1·STATUS0·온습도 캐시가 남아도 표시 유효와 FX M100·LS M0100C가OFF로 차단됨.
허가OFF에서 START 조작 후 상태10·알람0·모델0·요청/수락ID0/0·생산 누계0 유지.
BOOT80에서81로 바뀐 뒤 센서 중계 수동 재시작과 새 BOOT의 ACK 수신 확인.
복구 중 환경107·센서104/114 관측 후 최종 두 중계RUN·오류0·정상 샘플 복귀5/5·허가ON 확인.
영상 약390.1~415.1초 정상 조건에서 최소25초 무기동 후 새 START로 PASS1개 완료. 시각은 자료 확보 범위 기준.</t>
    <phoneticPr fontId="6" type="noConversion"/>
  </si>
  <si>
    <t>TOTAL/PASS/FAIL/RETEST는0/0/0/0 유지 후 새 START로1/1/0/0.
요청/수락ID0/0에서1/1, CSV는9열·데이터1행·AUTO3300mV·기준3000~3600·PASS1·수락ID1.
BOOT80/마지막 원시SEQ113에서BOOT81/SEQ22→42로 전환, ACK_BOOT81·ACK_SEQ21→40·ACK횟수2→16 확인.
MCU Monitor 로그는 미수집이며 CIMON의 BOOT/SEQ/ACK 및 영상으로 재부팅·재접속 기능을 확인함.
정확한 전원 조작시각·감지지연·재부팅 원인 상세·재접속 IP를 직접 측정한 것으로 기록하지 않음.
ATE_READY는 별도 사진에서 확인. 최종 상태10·알람0·모델0·단발0·환경 허가ON.</t>
    <phoneticPr fontId="6" type="noConversion"/>
  </si>
  <si>
    <t>AE08_00_main.png</t>
  </si>
  <si>
    <t>06_TEST\04_EVIDENCE\RUN-20261017-01\screens\AE08_00_main.png</t>
  </si>
  <si>
    <t>상태10·Auto0·알람0·TOTAL/PASS/FAIL/RETEST 모두0·운전조건4개ON·단발 선택·명령/감지OFF 확인.</t>
  </si>
  <si>
    <t>AE08_00_sensor.png</t>
  </si>
  <si>
    <t>06_TEST\04_EVIDENCE\RUN-20261017-01\screens\AE08_00_sensor.png</t>
  </si>
  <si>
    <t>AE08_00_ls1.png</t>
  </si>
  <si>
    <t>06_TEST\04_EVIDENCE\RUN-20261017-01\screens\AE08_00_ls1.png</t>
  </si>
  <si>
    <t>AE08_00_fx1.png</t>
  </si>
  <si>
    <t>06_TEST\04_EVIDENCE\RUN-20261017-01\screens\AE08_00_fx1.png</t>
  </si>
  <si>
    <t>FX 실측 모드 M0=0·환경 허가 M100=1 확인.</t>
  </si>
  <si>
    <t>AE08_00_fx2.png</t>
  </si>
  <si>
    <t>06_TEST\04_EVIDENCE\RUN-20261017-01\screens\AE08_00_fx2.png</t>
  </si>
  <si>
    <t>FX D32=5·D33=230·D34=0 확인.</t>
  </si>
  <si>
    <t>AE08_01_sensor_fault.png</t>
  </si>
  <si>
    <t>06_TEST\04_EVIDENCE\RUN-20261017-01\screens\AE08_01_sensor_fault.png</t>
  </si>
  <si>
    <t>AE08_01_environment_fault.png</t>
  </si>
  <si>
    <t>06_TEST\04_EVIDENCE\RUN-20261017-01\screens\AE08_01_environment_fault.png</t>
  </si>
  <si>
    <t>AE08_01_fx_fault2.png</t>
  </si>
  <si>
    <t>06_TEST\04_EVIDENCE\RUN-20261017-01\screens\AE08_01_fx_fault2.png</t>
  </si>
  <si>
    <t>FX D32=0·D33=319·D34=1로 정상 복귀 누계와 허가 판정 무효화 확인.</t>
  </si>
  <si>
    <t>AE08_01_fx_fault1.png</t>
  </si>
  <si>
    <t>06_TEST\04_EVIDENCE\RUN-20261017-01\screens\AE08_01_fx_fault1.png</t>
  </si>
  <si>
    <t>실측 모드 M0=0 유지·FX 환경 허가 M100=0 확인.</t>
  </si>
  <si>
    <t>AE08_02_start_blocked.png</t>
  </si>
  <si>
    <t>06_TEST\04_EVIDENCE\RUN-20261017-01\screens\AE08_02_start_blocked.png</t>
  </si>
  <si>
    <t>AE08_02_start_blocked_ls1.png</t>
  </si>
  <si>
    <t>06_TEST\04_EVIDENCE\RUN-20261017-01\screens\AE08_02_start_blocked_ls1.png</t>
  </si>
  <si>
    <t>AE08_02_start_blocked_ls2.png</t>
  </si>
  <si>
    <t>06_TEST\04_EVIDENCE\RUN-20261017-01\screens\AE08_02_start_blocked_ls2.png</t>
  </si>
  <si>
    <t>START 차단 구간 제품 모델 D01200=0·단발 선택 D01220=0 확인.</t>
  </si>
  <si>
    <t>AE08_03_reconnected_sensor.png</t>
  </si>
  <si>
    <t>06_TEST\04_EVIDENCE\RUN-20261017-01\screens\AE08_03_reconnected_sensor.png</t>
  </si>
  <si>
    <t>AE08_04_recovered_sensor.png</t>
  </si>
  <si>
    <t>06_TEST\04_EVIDENCE\RUN-20261017-01\screens\AE08_04_recovered_sensor.png</t>
  </si>
  <si>
    <t>AE08_04_recovered_environment.png</t>
  </si>
  <si>
    <t>06_TEST\04_EVIDENCE\RUN-20261017-01\screens\AE08_04_recovered_environment.png</t>
  </si>
  <si>
    <t>AE08_04_recovered_fx1.png</t>
  </si>
  <si>
    <t>06_TEST\04_EVIDENCE\RUN-20261017-01\screens\AE08_04_recovered_fx1.png</t>
  </si>
  <si>
    <t>FX 실측 모드 M0=0 유지·환경 허가 M100=1 복귀 확인.</t>
  </si>
  <si>
    <t>AE08_04_recovered_fx2.png</t>
  </si>
  <si>
    <t>06_TEST\04_EVIDENCE\RUN-20261017-01\screens\AE08_04_recovered_fx2.png</t>
  </si>
  <si>
    <t>FX D32=5·D33=603·D34=0으로 정상 샘플 복귀와 허가 판정 정상 확인.</t>
  </si>
  <si>
    <t>AE08_04_recovered_main.png</t>
  </si>
  <si>
    <t>06_TEST\04_EVIDENCE\RUN-20261017-01\screens\AE08_04_recovered_main.png</t>
  </si>
  <si>
    <t>AE08_04_ate_ready.png</t>
  </si>
  <si>
    <t>06_TEST\04_EVIDENCE\RUN-20261017-01\screens\AE08_04_ate_ready.png</t>
  </si>
  <si>
    <t>AE08_05_complete.png</t>
  </si>
  <si>
    <t>06_TEST\04_EVIDENCE\RUN-20261017-01\screens\AE08_05_complete.png</t>
  </si>
  <si>
    <t>새 START 후 상태10·알람0·결과PASS·TOTAL1·PASS1·FAIL0·RETEST0·운전조건4개ON·명령/감지OFF 확인.</t>
  </si>
  <si>
    <t>AE08_05_complete_ls2.png</t>
  </si>
  <si>
    <t>06_TEST\04_EVIDENCE\RUN-20261017-01\screens\AE08_05_complete_ls2.png</t>
  </si>
  <si>
    <t>최종 제품 모델 D01200=0·단발 선택 D01220=0 확인.</t>
  </si>
  <si>
    <t>AE08_05_complete_ls1.png</t>
  </si>
  <si>
    <t>06_TEST\04_EVIDENCE\RUN-20261017-01\screens\AE08_05_complete_ls1.png</t>
  </si>
  <si>
    <t>06_TEST\04_EVIDENCE\RUN-20261017-01\video\AE08_01_power_loss_recovery.mp4</t>
  </si>
  <si>
    <t>AE08_01_ate.csv</t>
  </si>
  <si>
    <t>06_TEST\04_EVIDENCE\RUN-20261017-01\csv\AE08_01_ate.csv</t>
  </si>
  <si>
    <t>원시 BOOT80·SEQ52·TEMP2450·RH4420·VALID1·STATUS0.
센서 중계RUN1·오류0·ACK횟수29·ACK_BOOT80·ACK_SEQ50 확인.</t>
    <phoneticPr fontId="6" type="noConversion"/>
  </si>
  <si>
    <t>상태10·알람0·요청ID0·수락ID0·생산 누계0.
M0100=0x1081로 안전/문/환경 허가 모두1 확인.</t>
    <phoneticPr fontId="6" type="noConversion"/>
  </si>
  <si>
    <t>센서 중계RUN0·오류108·확장 형식OFF·발행 미갱신4.0초 확인.
원시 캐시 BOOT80·SEQ113·TEMP2520·RH4210·VALID1·STATUS0이 남음.
마지막 ACK_BOOT80·SEQ112·ACK횟수76. 남은 원시값을 현재 통신 정상 근거로 사용하지 않음.</t>
    <phoneticPr fontId="6" type="noConversion"/>
  </si>
  <si>
    <t>현재 온습도표시 --·측정값 유효OFF·FX/LS 환경 허가OFF·복귀0/5 확인.
환경 중계는RUN1·오류0이며 FX/LS 수신워드9378 일치.
표시 샘플나이3200.0초는 실제 전원 차단 경과로 해석하지 않음.</t>
    <phoneticPr fontId="6" type="noConversion"/>
  </si>
  <si>
    <t>파일명과 달리 환경 페이지 사진.
FX/LS 허가OFF·현재값 --·측정값 유효OFF·환경 중계RUN1·오류0·수신워드12962 일치.
실제 START 조작과 무기동은 영상 및 LS 사진으로 확인.</t>
    <phoneticPr fontId="6" type="noConversion"/>
  </si>
  <si>
    <t>허가OFF 구간 상태10·알람0·요청ID0·수락ID0·생산 누계0 유지.
M0100=0x0081로 안전1·문1·환경 M0100C=0 확인.</t>
    <phoneticPr fontId="6" type="noConversion"/>
  </si>
  <si>
    <t>새 BOOT81·SEQ22·VALID1·STATUS0, ACK_BOOT81·ACK_SEQ21·ACK횟수2 확인.
이미 수동 중계 재시작 후의RUN1·오류0 사진이며 재시작 전OFF 장면으로 사용하지 않음.</t>
    <phoneticPr fontId="6" type="noConversion"/>
  </si>
  <si>
    <t>BOOT81·SEQ42·VALID1·STATUS0·센서 중계RUN1·오류0 확인.
ACK_BOOT81·ACK_SEQ40·ACK횟수16으로 새 부팅의 정상 샘플 적용과 전달 증가 확인.</t>
    <phoneticPr fontId="6" type="noConversion"/>
  </si>
  <si>
    <t>현재25.60C·41.10%RH·측정값 유효ON·복귀5/5·FX/LS 허가ON·환경 중계RUN1·오류0 확인.
FX/LS 수신워드18241 일치.</t>
    <phoneticPr fontId="6" type="noConversion"/>
  </si>
  <si>
    <t>복구 후 상태10·알람0·생산 누계0·운전조건4개ON·기동가능ON·명령/감지OFF.
허가 복원만으로 생산하지 않은 대기 상태 확인.</t>
    <phoneticPr fontId="6" type="noConversion"/>
  </si>
  <si>
    <t>ATE_READY/PLC_LIVE_OK ON·오류code0·ACTIVE_ID/RESULT0·레코드 공백·새 검사 요청 대기.
로그 경로 csv/AE08_01_ate.csv 확인.
영상의 CIMON 무기동 구간과 별도 사진 근거로 구분.</t>
    <phoneticPr fontId="6" type="noConversion"/>
  </si>
  <si>
    <t>최종 상태10·알람0·수락 결과1·요청ID1·수락ID1·TOTAL1·PASS1·나머지0.
M0100=0x1081로 안전/문/환경 허가1 확인.</t>
    <phoneticPr fontId="6" type="noConversion"/>
  </si>
  <si>
    <t>약15.1초 센서108·캐시잔류,45.1초 FX/LS 허가OFF 확인.
132.1초 START 조작 전후10/0·누계0 유지.232.1초 새BOOT81인데중계OFF 상태에서 수동 시작,265.5초 재시도 후265.7초RUN1·오류0 확인.
복구 중 환경107·센서104/114도 관측.
390.1~415.1초 정상 운전조건에서 최소25초 무기동,418~419초 새START 후428.1초TOTAL1·PASS1 완료.
물리 전원 조작시각·직렬로그·IP·정확 감지지연은 이 영상으로 단정하지 않음.</t>
    <phoneticPr fontId="6" type="noConversion"/>
  </si>
  <si>
    <t>헤더9열·데이터1행. 요청ID1·수락ID1·AUTO·3300mV·하한3000·상한3600·PASS1.
캡처 UTC10:46:12/KST19:46:12·수락 UTC10:46:14/KST19:46:14.
복구 후 새 START에 대한 정상 제품1건.</t>
    <phoneticPr fontId="6" type="noConversion"/>
  </si>
  <si>
    <t>RUN20261017-01-AE09-A01</t>
  </si>
  <si>
    <t>AE09_01_fx_loss_recovery.mp4</t>
  </si>
  <si>
    <t>TOTAL/PASS/FAIL/RETEST는0/0/0/0 유지 후 새 START로1/1/0/0.
요청/수락ID0/0에서1/1. CSV 데이터1행, AUTO3300mV, 기준3000~3600, PASS1, 수락ID1.
캡처/수락KST20:37:12/20:37:14. ESP BOOT82 유지, 원시SEQ370에서451과533으로 증가.
최종 상태10/알람0/모델0/단발0.
실제 고장 주입은CPU STOP이며 프로세스 종료와OPC 연결 자체 단절은 미확인.
시각은 자료 확보 범위 기준.</t>
    <phoneticPr fontId="6" type="noConversion"/>
  </si>
  <si>
    <t>GX CPU STOP에 따른 FX 자료 갱신 상실 시험.
환경107/센서113과 중계 정지 확인.
LS D00401=32767, M00405=0, M0100C=0으로 차단되고 START 조작에도 상태10/알람0/누계0 유지.
수동 복구 후 두 중계RUN1/오류0, 정상 복귀5/5, FX/LS 허가ON.
영상270.1~315.1초 최소45초 무기동 후 325.1초 새 START, 333.1초 PASS1건 완료.
FX 갱신 상실 감지/기동 차단/수동 복구 기능 범위로 합격.</t>
    <phoneticPr fontId="6" type="noConversion"/>
  </si>
  <si>
    <t>AE09_00_environment.png</t>
  </si>
  <si>
    <t>06_TEST\04_EVIDENCE\RUN-20261017-01\screens\AE09_00_environment.png</t>
  </si>
  <si>
    <t>AE09_00_sensor.png</t>
  </si>
  <si>
    <t>06_TEST\04_EVIDENCE\RUN-20261017-01\screens\AE09_00_sensor.png</t>
  </si>
  <si>
    <t>AE09_00_ls1.png</t>
  </si>
  <si>
    <t>06_TEST\04_EVIDENCE\RUN-20261017-01\screens\AE09_00_ls1.png</t>
  </si>
  <si>
    <t>AE09_00_fx1.png</t>
  </si>
  <si>
    <t>06_TEST\04_EVIDENCE\RUN-20261017-01\screens\AE09_00_fx1.png</t>
  </si>
  <si>
    <t>FX M0=0, M100=1. 실측 모드와 환경 허가 확인.</t>
  </si>
  <si>
    <t>AE09_00_fx2.png</t>
  </si>
  <si>
    <t>06_TEST\04_EVIDENCE\RUN-20261017-01\screens\AE09_00_fx2.png</t>
  </si>
  <si>
    <t>FX D32=5, D33=198, D34=0. 정상 복귀 횟수와 판정 정상 확인.</t>
  </si>
  <si>
    <t>AE09_01_simulator_off.png</t>
  </si>
  <si>
    <t>06_TEST\04_EVIDENCE\RUN-20261017-01\screens\AE09_01_simulator_off.png</t>
  </si>
  <si>
    <t>AE09_01_environment_fault.png</t>
  </si>
  <si>
    <t>06_TEST\04_EVIDENCE\RUN-20261017-01\screens\AE09_01_environment_fault.png</t>
  </si>
  <si>
    <t>AE09_01_sensor_fault.png</t>
  </si>
  <si>
    <t>06_TEST\04_EVIDENCE\RUN-20261017-01\screens\AE09_01_sensor_fault.png</t>
  </si>
  <si>
    <t>AE09_02_start_blocked.png</t>
  </si>
  <si>
    <t>06_TEST\04_EVIDENCE\RUN-20261017-01\screens\AE09_02_start_blocked.png</t>
  </si>
  <si>
    <t>AE09_02_start_blocked_ls1.png</t>
  </si>
  <si>
    <t>06_TEST\04_EVIDENCE\RUN-20261017-01\screens\AE09_02_start_blocked_ls1.png</t>
  </si>
  <si>
    <t>AE09_02_ls_link.png</t>
  </si>
  <si>
    <t>06_TEST\04_EVIDENCE\RUN-20261017-01\screens\AE09_02_ls_link.png</t>
  </si>
  <si>
    <t>AE09_04_recovered_environment.png</t>
  </si>
  <si>
    <t>06_TEST\04_EVIDENCE\RUN-20261017-01\screens\AE09_04_recovered_environment.png</t>
  </si>
  <si>
    <t>AE09_04_recovered_sensor.png</t>
  </si>
  <si>
    <t>06_TEST\04_EVIDENCE\RUN-20261017-01\screens\AE09_04_recovered_sensor.png</t>
  </si>
  <si>
    <t>센서 중계RUN1/오류0/ACK횟수10. BOOT82 유지, 원시SEQ533/ACK_SEQ531, ACK_VALID1/STATUS0으로 새 자료 수신 복구.</t>
  </si>
  <si>
    <t>AE09_04_recovered_main.png</t>
  </si>
  <si>
    <t>06_TEST\04_EVIDENCE\RUN-20261017-01\screens\AE09_04_recovered_main.png</t>
  </si>
  <si>
    <t>AE09_04_recovered_fx2.png</t>
  </si>
  <si>
    <t>06_TEST\04_EVIDENCE\RUN-20261017-01\screens\AE09_04_recovered_fx2.png</t>
  </si>
  <si>
    <t>복구 FX D32=5, D33=89, D34=0. 정상 복귀 완료.</t>
  </si>
  <si>
    <t>AE09_04_recovered_fx1.png</t>
  </si>
  <si>
    <t>06_TEST\04_EVIDENCE\RUN-20261017-01\screens\AE09_04_recovered_fx1.png</t>
  </si>
  <si>
    <t>복구 FX M0=0, M100=1 확인.</t>
  </si>
  <si>
    <t>AE09_04_ate_ready.png</t>
  </si>
  <si>
    <t>06_TEST\04_EVIDENCE\RUN-20261017-01\screens\AE09_04_ate_ready.png</t>
  </si>
  <si>
    <t>AE09_05_complete.png</t>
  </si>
  <si>
    <t>06_TEST\04_EVIDENCE\RUN-20261017-01\screens\AE09_05_complete.png</t>
  </si>
  <si>
    <t>AE09_05_complete_ls1.png</t>
  </si>
  <si>
    <t>06_TEST\04_EVIDENCE\RUN-20261017-01\screens\AE09_05_complete_ls1.png</t>
  </si>
  <si>
    <t>최종 상태10/알람0/수락결과1, 요청ID1/수락ID1, TOTAL1/PASS1/나머지0, M0100=0x1081.</t>
  </si>
  <si>
    <t>AE09_05_complete_ls2.png</t>
  </si>
  <si>
    <t>06_TEST\04_EVIDENCE\RUN-20261017-01\screens\AE09_05_complete_ls2.png</t>
  </si>
  <si>
    <t>최종 D01200=0, D01220=0으로 모델 정리 및 단발 모드 확인.</t>
  </si>
  <si>
    <t>06_TEST\04_EVIDENCE\RUN-20261017-01\video\AE09_01_fx_loss_recovery.mp4</t>
  </si>
  <si>
    <t>AE09_01_ate.csv</t>
  </si>
  <si>
    <t>06_TEST\04_EVIDENCE\RUN-20261017-01\csv\AE09_01_ate.csv</t>
  </si>
  <si>
    <t>환경 중계RUN1/오류0, FX/LS 허가ON, 정상 복귀5/5.
25.90C/40.80%RH, 전송/수신워드1985 일치.</t>
    <phoneticPr fontId="6" type="noConversion"/>
  </si>
  <si>
    <t>ESP BOOT82/SEQ370/VALID1/STATUS0.
센서 중계RUN1/오류0/ACK횟수18, ACK_BOOT82/SEQ368.</t>
    <phoneticPr fontId="6" type="noConversion"/>
  </si>
  <si>
    <t>LS 상태10/알람0, 요청ID0/수락ID0, TOTAL/PASS/FAIL/RETEST=0/0/0/0.
M0100=0x1081로 환경 허가1.</t>
    <phoneticPr fontId="6" type="noConversion"/>
  </si>
  <si>
    <t>GX Simulator2 창의 CPU STOP 선택, POWER 녹색/RUN 회색.
실제 시험 조건은 CPU STOP.</t>
    <phoneticPr fontId="6" type="noConversion"/>
  </si>
  <si>
    <t>환경 중계RUN0/오류107.
FX D100 카운터3초 미갱신 검출, 관측 나이3.10초.
FX/LS 허가OFF, 표시 온습도--, 전송/수신32767.</t>
    <phoneticPr fontId="6" type="noConversion"/>
  </si>
  <si>
    <t>센서 중계RUN0/오류113, FX/LS 확인OFF.
ESP BOOT82/SEQ451/VALID1/STATUS0으로 원시 자료 계속 갱신.
마지막 ACK_SEQ435는 잔류값.</t>
    <phoneticPr fontId="6" type="noConversion"/>
  </si>
  <si>
    <t>LS 상태10/알람0/누계0 유지.
환경 시작 허가OFF, 기동가능OFF, 안전/문/복구조건ON.
START 조작은 영상과 대조.</t>
    <phoneticPr fontId="6" type="noConversion"/>
  </si>
  <si>
    <t>허가 차단 상태에서 상태10/알람0, 검사요청0, 요청ID0/수락ID0/누계0.
M0100=0x0081로 M0100C=0.</t>
    <phoneticPr fontId="6" type="noConversion"/>
  </si>
  <si>
    <t>D00400=D00401=32767, M00405=0, M0100C=0으로 무효 자료 수신 및 허가 차단.
T0010 현재0/비트OFF이며 타이머 만료 측정 자료가 아님.</t>
    <phoneticPr fontId="6" type="noConversion"/>
  </si>
  <si>
    <t>환경 중계RUN1/오류0, FX/LS 허가ON, 복귀5/5. 26.10C/40.80%RH, 전송/수신1601 일치.
수신 확인 대기는 정상 운전 중 일시적 표시.</t>
    <phoneticPr fontId="6" type="noConversion"/>
  </si>
  <si>
    <t>복구 후 상태10/알람0/누계0 유지.
운전조건4개와 기동가능ON, 공정 진행OFF. 새 START 전 대기.</t>
    <phoneticPr fontId="6" type="noConversion"/>
  </si>
  <si>
    <t>ATE_STATE60, ATE_READY/PLC_LIVE_OK 모두ON, error code0, ACTIVE_ID0/RESULT0/레코드공백.
AE09 전용 CSV 경로 확인.</t>
    <phoneticPr fontId="6" type="noConversion"/>
  </si>
  <si>
    <t>새 START 후 PASS1건.
상태10/알람0, TOTAL1/PASS1/FAIL0/RETEST0, 환경 허가ON, 출력OFF.</t>
    <phoneticPr fontId="6" type="noConversion"/>
  </si>
  <si>
    <t>영상391.167초. 약8.1초 GX CPU STOP, 30.1초 환경107/허가OFF/무효수신32767, 60.1초 센서113 관측.
110.1~118.1초 START 조작에도 상태10/누계0 유지.
270.1~315.1초 정상 운전조건에서 최소45초 무기동, 325.1초 새 START로 상태20, 333.1초 TOTAL1/PASS1, 334.1초 배출감지OFF 확인.
프로세스 종료와 정확한 RUN 복귀 조작시각은 미확인.
ATE_READY는 별도 사진 근거.</t>
    <phoneticPr fontId="6" type="noConversion"/>
  </si>
  <si>
    <t>헤더9열/데이터1행.
요청ID1/수락ID1, AUTO3300mV, 하한3000/상한3600, 결과1 PASS.
캡처 UTC11:37:12/KST20:37:12, 수락 UTC11:37:14/KST20:37:14.
복구 후 새 START 정상 검사1건.</t>
    <phoneticPr fontId="6" type="noConversion"/>
  </si>
  <si>
    <t>RUN20261017-01-AE10-A01</t>
  </si>
  <si>
    <t>AE10_01_ls_loss_recovery.mp4</t>
  </si>
  <si>
    <t>실제 고장 주입은 LS CPU STOP.
환경109/센서104/ATE5002로 자료 갱신 상실을 검출하고 ATE_READY/PLC_LIVE_OK OFF 확인.
재RUN 직후 상태0/알람1/안전OFF/모델0/단발0/연속 기억0 확인.
수동 복구 후 두 중계RUN1/오류0/정상 복귀5/5/허가ON.
영상290.1~360.1초 최소70초 무기동, 별도 환경 오류 재복구 후 522.1초 새 START로 PASS1건 완료.
LS 생존 감시와 재RUN 수동 복구 기능 범위로 합격.</t>
    <phoneticPr fontId="6" type="noConversion"/>
  </si>
  <si>
    <t>TOTAL/PASS/FAIL/RETEST는0/0/0/0에서1/1/0/0, 요청/수락ID0/0에서1/1.
CSV9열/1행, AUTO3300/3000/3600/PASS1.
캡처/수락KST21:15:15/21:15:17.
ESP BOOT83 유지, SEQ39/101/199로 증가.
최종 상태10/알람0/모델0/단발0/연속 기억0.
별도 환경 허가OFF/오류107은 시험자 요청으로 판정에서 제외하고 원인은 진단하지 않음.
프로세스 종료와 연결 단절은 미확인.
시각은 자료 확보 범위.</t>
    <phoneticPr fontId="6" type="noConversion"/>
  </si>
  <si>
    <t>AE10_00_main.png</t>
  </si>
  <si>
    <t>06_TEST\04_EVIDENCE\RUN-20261017-01\screens\AE10_00_main.png</t>
  </si>
  <si>
    <t>상태10/알람0/누계0, 운전조건4개ON, 기동가능ON, 공정 출력OFF.</t>
  </si>
  <si>
    <t>AE10_00_environment.png</t>
  </si>
  <si>
    <t>06_TEST\04_EVIDENCE\RUN-20261017-01\screens\AE10_00_environment.png</t>
  </si>
  <si>
    <t>AE10_00_sensor.png</t>
  </si>
  <si>
    <t>06_TEST\04_EVIDENCE\RUN-20261017-01\screens\AE10_00_sensor.png</t>
  </si>
  <si>
    <t>AE10_00_ate_ready.png</t>
  </si>
  <si>
    <t>06_TEST\04_EVIDENCE\RUN-20261017-01\screens\AE10_00_ate_ready.png</t>
  </si>
  <si>
    <t>AE10_00_ls1.png</t>
  </si>
  <si>
    <t>06_TEST\04_EVIDENCE\RUN-20261017-01\screens\AE10_00_ls1.png</t>
  </si>
  <si>
    <t>AE10_00_ls2.png</t>
  </si>
  <si>
    <t>06_TEST\04_EVIDENCE\RUN-20261017-01\screens\AE10_00_ls2.png</t>
  </si>
  <si>
    <t>AE10_01_ls_shutdown.png</t>
  </si>
  <si>
    <t>06_TEST\04_EVIDENCE\RUN-20261017-01\screens\AE10_01_ls_shutdown.png</t>
  </si>
  <si>
    <t>AE10_01_environment_fault.png</t>
  </si>
  <si>
    <t>06_TEST\04_EVIDENCE\RUN-20261017-01\screens\AE10_01_environment_fault.png</t>
  </si>
  <si>
    <t>AE10_01_sensor_fault.png</t>
  </si>
  <si>
    <t>06_TEST\04_EVIDENCE\RUN-20261017-01\screens\AE10_01_sensor_fault.png</t>
  </si>
  <si>
    <t>AE10_01_ate_fault.png</t>
  </si>
  <si>
    <t>06_TEST\04_EVIDENCE\RUN-20261017-01\screens\AE10_01_ate_fault.png</t>
  </si>
  <si>
    <t>AE10_02_run_initial_ls1.png</t>
  </si>
  <si>
    <t>06_TEST\04_EVIDENCE\RUN-20261017-01\screens\AE10_02_run_initial_ls1.png</t>
  </si>
  <si>
    <t>AE10_02_run_initial_ls2.png</t>
  </si>
  <si>
    <t>06_TEST\04_EVIDENCE\RUN-20261017-01\screens\AE10_02_run_initial_ls2.png</t>
  </si>
  <si>
    <t>AE10_03_recovered_environment.png</t>
  </si>
  <si>
    <t>06_TEST\04_EVIDENCE\RUN-20261017-01\screens\AE10_03_recovered_environment.png</t>
  </si>
  <si>
    <t>AE10_03_recovered_sensor.png</t>
  </si>
  <si>
    <t>06_TEST\04_EVIDENCE\RUN-20261017-01\screens\AE10_03_recovered_sensor.png</t>
  </si>
  <si>
    <t>AE10_03_recovered_main.png</t>
  </si>
  <si>
    <t>06_TEST\04_EVIDENCE\RUN-20261017-01\screens\AE10_03_recovered_main.png</t>
  </si>
  <si>
    <t>AE10_03_ate_ready.png</t>
  </si>
  <si>
    <t>06_TEST\04_EVIDENCE\RUN-20261017-01\screens\AE10_03_ate_ready.png</t>
  </si>
  <si>
    <t>AE10_03_recovered_ls2.png</t>
  </si>
  <si>
    <t>06_TEST\04_EVIDENCE\RUN-20261017-01\screens\AE10_03_recovered_ls2.png</t>
  </si>
  <si>
    <t>AE10_03_recovered_ls1.png</t>
  </si>
  <si>
    <t>06_TEST\04_EVIDENCE\RUN-20261017-01\screens\AE10_03_recovered_ls1.png</t>
  </si>
  <si>
    <t>복구 준비 상태10/알람0, 요청ID0/수락ID0/누계0, D00030=516.</t>
  </si>
  <si>
    <t>AE10_04_complete.png</t>
  </si>
  <si>
    <t>06_TEST\04_EVIDENCE\RUN-20261017-01\screens\AE10_04_complete.png</t>
  </si>
  <si>
    <t>AE10_04_complete_ls1.png</t>
  </si>
  <si>
    <t>06_TEST\04_EVIDENCE\RUN-20261017-01\screens\AE10_04_complete_ls1.png</t>
  </si>
  <si>
    <t>최종 상태10/알람0/수락결과1, 요청ID1/수락ID1, TOTAL1/PASS1/나머지0, D00030=815.</t>
  </si>
  <si>
    <t>AE10_04_complete_ls2.png</t>
  </si>
  <si>
    <t>06_TEST\04_EVIDENCE\RUN-20261017-01\screens\AE10_04_complete_ls2.png</t>
  </si>
  <si>
    <t>AE10_01_ate.png</t>
  </si>
  <si>
    <t>06_TEST\04_EVIDENCE\RUN-20261017-01\screens\AE10_01_ate.png</t>
  </si>
  <si>
    <t>06_TEST\04_EVIDENCE\RUN-20261017-01\video\AE10_01_ls_loss_recovery.mp4</t>
  </si>
  <si>
    <t>AE10_01_ate.csv</t>
  </si>
  <si>
    <t>06_TEST\04_EVIDENCE\RUN-20261017-01\csv\AE10_01_ate.csv</t>
  </si>
  <si>
    <t>센서 중계RUN1/오류0/ACK횟수13.
BOOT83/SEQ39/VALID1/STATUS0, ACK_BOOT83/SEQ37.</t>
    <phoneticPr fontId="6" type="noConversion"/>
  </si>
  <si>
    <t>환경 중계RUN1/오류0, FX/LS 허가ON, 복귀5/5.
25.10C/43.30%RH, 전송/수신1953 일치.</t>
    <phoneticPr fontId="6" type="noConversion"/>
  </si>
  <si>
    <t>ATE_STATE60, ATE_READY/PLC_LIVE_OK ON, 오류0, ID0/결과0/레코드공백.
AUTO3300/3000/3600, 종료 전 CSV 경로 확인.</t>
    <phoneticPr fontId="6" type="noConversion"/>
  </si>
  <si>
    <t>상태10/알람0, 요청ID0/수락ID0/누계0, D00030=265.
M0100=0x1081로 안전/문/환경 허가1.</t>
    <phoneticPr fontId="6" type="noConversion"/>
  </si>
  <si>
    <t>D01200=0/D01220=0으로 빈 모델/단발 확인.
이 사진에는 M02100 표시 없음.</t>
    <phoneticPr fontId="6" type="noConversion"/>
  </si>
  <si>
    <t>XG5000 트리 CPU 스톱 표시, 스캔 순서 SIM_IO/MAIN.
영상에서도 CPU STOP 조작 확인.
시뮬레이터 프로세스 종료 증거로 사용하지 않음.</t>
    <phoneticPr fontId="6" type="noConversion"/>
  </si>
  <si>
    <t>환경 중계RUN0/오류109, LS D00401 수신 확인2초 초과.
쓰기요청32767/내부수신5825, LS 갱신나이2.32초. 자료 확인과 허가 표시OFF.</t>
    <phoneticPr fontId="6" type="noConversion"/>
  </si>
  <si>
    <t>센서 중계RUN0/오류104.
ESP BOOT83/SEQ101/VALID1/STATUS0으로 원시값 유효.
마지막 ACK_SEQ87/ACK횟수50은 정지 후 보관값.</t>
    <phoneticPr fontId="6" type="noConversion"/>
  </si>
  <si>
    <t>LabVIEW 오류5002/source PLC 카운터 변경 중단.
ATE_READY/PLC_LIVE_OK OFF, ID0/결과0/레코드공백.</t>
    <phoneticPr fontId="6" type="noConversion"/>
  </si>
  <si>
    <t>재RUN 후 상태0/알람1, 요청ID0/수락ID0/누계0, D00030=55.
M0100=0x0080로 문1/안전0/환경0.</t>
    <phoneticPr fontId="6" type="noConversion"/>
  </si>
  <si>
    <t>재RUN 후 D01200=0/D01220=0/M02100=0, 안전 허가OFF.
M0210=0x0004, M0110=0x0300으로 연속 기억0/공정 동작출력OFF 확인.</t>
    <phoneticPr fontId="6" type="noConversion"/>
  </si>
  <si>
    <t>환경 중계RUN1/오류0, FX/LS 허가ON, 복귀5/5.
25.90C/41.60%RH, 전송/수신13697 일치.</t>
    <phoneticPr fontId="6" type="noConversion"/>
  </si>
  <si>
    <t>센서 중계RUN1/오류0/ACK횟수23.
BOOT83/SEQ199, ACK_BOOT83/SEQ197/VALID1/STATUS0.
준비 요청 재전송 대기 표시.</t>
    <phoneticPr fontId="6" type="noConversion"/>
  </si>
  <si>
    <t>복구 후 상태10/알람0/누계0, 운전조건4개ON, 기동가능ON, 공정 진행OFF.
새 START 전 대기.</t>
    <phoneticPr fontId="6" type="noConversion"/>
  </si>
  <si>
    <t>ATE_READY/PLC_LIVE_OK ON, 오류0, STATE60/ID0/결과0/레코드공백.
복구 후 전용 AE10_01_ate.csv 경로 확인.</t>
    <phoneticPr fontId="6" type="noConversion"/>
  </si>
  <si>
    <t>D01200=0/D01220=0/M02100=0.
M0100=0x1081로 안전/문/환경 허가1, 공정 동작출력OFF.</t>
    <phoneticPr fontId="6" type="noConversion"/>
  </si>
  <si>
    <t>새 START 후 PASS1건 완료.
상태10/알람0, TOTAL1/PASS1/FAIL0/RETEST0, 환경 허가ON, 공정 출력OFF.</t>
    <phoneticPr fontId="6" type="noConversion"/>
  </si>
  <si>
    <t>최종 D01200=0/D01220=0/M02100=0.
M0100=0x1081로 안전/문/환경 허가1, 공정 동작출력OFF.</t>
    <phoneticPr fontId="6" type="noConversion"/>
  </si>
  <si>
    <t>추가 완료 사진.
ATE_READY/PLC_LIVE_OK ON, 오류0, ACTIVE_ID1/RESULT1.
레코드 UTC12:15:15Z/ID1/AUTO3300/3000/3600/PASS1로 CSV와 일치.</t>
    <phoneticPr fontId="6" type="noConversion"/>
  </si>
  <si>
    <t>영상602.24초. 약48~50초 CPU STOP, 136~138초 재RUN.
환경109/센서104/ATE5002와 준비 해제 확인.
290.1~360.1초 정상 조건에서 최소70초 무기동.
별도 환경 허가OFF/107 후 재복구, 520.1~521.1초 허가ON/대기, 522.1초 새 START, 530.1초 TOTAL1/PASS1, 531.1초 배출감지OFF.
별도 환경 오류는 시험자 요청으로 판정 제외.</t>
    <phoneticPr fontId="6" type="noConversion"/>
  </si>
  <si>
    <t>헤더9열/데이터1행.
요청ID1/수락ID1, AUTO3300mV, 하한3000/상한3600, 결과1 PASS.
캡처 UTC12:15:15/KST21:15:15, 수락 UTC12:15:17/KST21:15:17.
복구 후 새 START 정상 검사1건.</t>
    <phoneticPr fontId="6" type="noConversion"/>
  </si>
  <si>
    <t>RUN20261017-01-AE11-A01</t>
  </si>
  <si>
    <t>AE11_01_continuous_run.mp4</t>
  </si>
  <si>
    <t>RUN20261017-01-AE12-A01</t>
  </si>
  <si>
    <t>AE12_01_normal_shutdown.mp4</t>
  </si>
  <si>
    <t>OPC/중계 통신 안정성과30분 무중단 목표를 판정 범위에서 제외하고 연속 생산/검사 수락/분류/CSV 정합 기능으로 합격.
201건 PASS와 생산량/CSV201행 일치.
중간 환경107 후 수동 재START, 완료 후 센서113은 관측 사항으로 보존.
단발 전환 뒤 상태10/알람0/모델0/연속 기억0으로 정상 마무리.</t>
    <phoneticPr fontId="6" type="noConversion"/>
  </si>
  <si>
    <t>TOTAL/PASS/FAIL/RETEST 0/0/0/0에서201/201/0/0, 요청/수락ID201/201.
CSV201행 모두AUTO3300/3000~3600/PASS1, 중복과ID불일치0.
메모 기준 START00:24:00~단발00:53:40=29분40초, 영상 약29분37초.
OPC 재시작1회는 시험자 기록이며 정상 환경일 경우 30분 무중단 달성 가능.
OPC 재시작 1회는 프로그램 문제로 프로세스 재시작 시행.
시각은 자료 확보 범위.</t>
    <phoneticPr fontId="6" type="noConversion"/>
  </si>
  <si>
    <t>상태10/알람0/201PASS 대기에서 LabVIEW 사용자 정지/code0 확인.
센서 중계RUN0 뒤 환경 중계RUN1 상태에서 FX/LS허가표시OFF 및 FX M100=0 확인.
환경 중계도RUN0/오류0/무효수신32767 확인 후 CimonX 정상 종료.
종료 메모01:05:32~01:05:40/8초, 영상에서 종료 메뉴와 창 소멸 확인.
응답 없음과 강제 종료 없음.</t>
    <phoneticPr fontId="6" type="noConversion"/>
  </si>
  <si>
    <t>AE11 수량201/201/0/0와 마지막ID201 및 CSV 보존, AE12 추가 검사 없음.
LS 작은 사진은 실제 M01100=0이며 M0100C 직접 캡처가 아님.
LS환경허가OFF는 자료 정상인 환경 화면 근거. 시각은 자료 확보 범위.</t>
    <phoneticPr fontId="6" type="noConversion"/>
  </si>
  <si>
    <t>AE11_00_main.png</t>
  </si>
  <si>
    <t>06_TEST\04_EVIDENCE\RUN-20261017-01\screens\AE11_00_main.png</t>
  </si>
  <si>
    <t>상태10/알람0/누계0, 운전조건4개ON, 단발, 공정 출력OFF.</t>
  </si>
  <si>
    <t>AE11_00_environment.png</t>
  </si>
  <si>
    <t>06_TEST\04_EVIDENCE\RUN-20261017-01\screens\AE11_00_environment.png</t>
  </si>
  <si>
    <t>환경RUN1/오류0/단계50, FX/LS허가ON, 복귀5/5, 25.00C/44.00%RH, 발행/수신1889 일치.</t>
  </si>
  <si>
    <t>AE11_00_sensor.png</t>
  </si>
  <si>
    <t>06_TEST\04_EVIDENCE\RUN-20261017-01\screens\AE11_00_sensor.png</t>
  </si>
  <si>
    <t>센서RUN1/오류0, BOOT84/SEQ137/VALID1/STATUS0, ACK_BOOT84/SEQ136/ACK횟수15.</t>
  </si>
  <si>
    <t>AE11_00_ate_ready.png</t>
  </si>
  <si>
    <t>06_TEST\04_EVIDENCE\RUN-20261017-01\screens\AE11_00_ate_ready.png</t>
  </si>
  <si>
    <t>AE11_00_ls1.png</t>
  </si>
  <si>
    <t>06_TEST\04_EVIDENCE\RUN-20261017-01\screens\AE11_00_ls1.png</t>
  </si>
  <si>
    <t>상태10/알람0, 요청ID0/수락ID0/누계0, D00030=264.</t>
  </si>
  <si>
    <t>AE11_00_ls2.png</t>
  </si>
  <si>
    <t>06_TEST\04_EVIDENCE\RUN-20261017-01\screens\AE11_00_ls2.png</t>
  </si>
  <si>
    <t>모델0/D01220=0, M0210=0x0004로 M02100=0. 단발 준비.</t>
  </si>
  <si>
    <t>AE11_01_running_ls2.png</t>
  </si>
  <si>
    <t>06_TEST\04_EVIDENCE\RUN-20261017-01\screens\AE11_01_running_ls2.png</t>
  </si>
  <si>
    <t>모델40/D01220=1, M0210=0x000D로 M02100=1. 연속 운전 기억ON.</t>
  </si>
  <si>
    <t>AE11_01_start.png</t>
  </si>
  <si>
    <t>06_TEST\04_EVIDENCE\RUN-20261017-01\screens\AE11_01_start.png</t>
  </si>
  <si>
    <t>AE11_10min_main.png</t>
  </si>
  <si>
    <t>06_TEST\04_EVIDENCE\RUN-20261017-01\screens\AE11_10min_main.png</t>
  </si>
  <si>
    <t>상태60/알람0, TOTAL59/PASS59/나머지0, 검사 위치/클램프 닫힘ON, 연속.</t>
  </si>
  <si>
    <t>AE11_10min_environment.png</t>
  </si>
  <si>
    <t>06_TEST\04_EVIDENCE\RUN-20261017-01\screens\AE11_10min_environment.png</t>
  </si>
  <si>
    <t>환경RUN1/오류0, FX/LS허가ON, 복귀5/5, 26.30C/43.20%RH, 발행/수신23681 일치.</t>
  </si>
  <si>
    <t>AE11_10min_sensor.png</t>
  </si>
  <si>
    <t>06_TEST\04_EVIDENCE\RUN-20261017-01\screens\AE11_10min_sensor.png</t>
  </si>
  <si>
    <t>AE11_20min_main.png</t>
  </si>
  <si>
    <t>06_TEST\04_EVIDENCE\RUN-20261017-01\screens\AE11_20min_main.png</t>
  </si>
  <si>
    <t>상태10/알람0, TOTAL127/PASS127/나머지0, 배출감지ON, 공정진행ON, 연속.</t>
  </si>
  <si>
    <t>AE11_20min_environment.png</t>
  </si>
  <si>
    <t>06_TEST\04_EVIDENCE\RUN-20261017-01\screens\AE11_20min_environment.png</t>
  </si>
  <si>
    <t>환경RUN1/오류0, FX/LS허가ON, 복귀5/5, 26.30C/44.10%RH, 발행/수신8161 일치.</t>
  </si>
  <si>
    <t>AE11_20min_sensor.png</t>
  </si>
  <si>
    <t>06_TEST\04_EVIDENCE\RUN-20261017-01\screens\AE11_20min_sensor.png</t>
  </si>
  <si>
    <t>센서RUN1/오류0, BOOT84/SEQ667, ACK_SEQ665/ACK횟수193, VALID1/STATUS0.</t>
  </si>
  <si>
    <t>AE11_30min_main.png</t>
  </si>
  <si>
    <t>06_TEST\04_EVIDENCE\RUN-20261017-01\screens\AE11_30min_main.png</t>
  </si>
  <si>
    <t>AE11_30min_environment.png</t>
  </si>
  <si>
    <t>06_TEST\04_EVIDENCE\RUN-20261017-01\screens\AE11_30min_environment.png</t>
  </si>
  <si>
    <t>AE11_30min_sensor.png</t>
  </si>
  <si>
    <t>06_TEST\04_EVIDENCE\RUN-20261017-01\screens\AE11_30min_sensor.png</t>
  </si>
  <si>
    <t>센서RUN1/오류0, BOOT84/SEQ899, ACK_SEQ897/ACK횟수369, VALID1/STATUS0.</t>
  </si>
  <si>
    <t>AE11_04_end_main.png</t>
  </si>
  <si>
    <t>06_TEST\04_EVIDENCE\RUN-20261017-01\screens\AE11_04_end_main.png</t>
  </si>
  <si>
    <t>상태10/알람0, TOTAL201/PASS201/FAIL0/RETEST0, 단발, 운전조건ON, 동작/감지OFF.</t>
  </si>
  <si>
    <t>AE11_04_end_ls1.png</t>
  </si>
  <si>
    <t>06_TEST\04_EVIDENCE\RUN-20261017-01\screens\AE11_04_end_ls1.png</t>
  </si>
  <si>
    <t>최종 상태10/알람0/수락결과1, 요청ID201/수락ID201, TOTAL201/PASS201/나머지0, D00030=4116.</t>
  </si>
  <si>
    <t>AE11_04_end_ls2.png</t>
  </si>
  <si>
    <t>06_TEST\04_EVIDENCE\RUN-20261017-01\screens\AE11_04_end_ls2.png</t>
  </si>
  <si>
    <t>최종 모델0/D01220=0/M02100=0. M0100=0x1081로 안전/문/환경허가ON, 공정동작출력OFF.</t>
  </si>
  <si>
    <t>AE11_04_inspection.png</t>
  </si>
  <si>
    <t>06_TEST\04_EVIDENCE\RUN-20261017-01\screens\AE11_04_inspection.png</t>
  </si>
  <si>
    <t>AE11_04_environment.png</t>
  </si>
  <si>
    <t>06_TEST\04_EVIDENCE\RUN-20261017-01\screens\AE11_04_environment.png</t>
  </si>
  <si>
    <t>환경RUN1/오류0, FX/LS허가ON, 복귀5/5, 26.40C/44.90%RH, 샘플960/발행수신30337 일치.</t>
  </si>
  <si>
    <t>AE11_04_sensor.png</t>
  </si>
  <si>
    <t>06_TEST\04_EVIDENCE\RUN-20261017-01\screens\AE11_04_sensor.png</t>
  </si>
  <si>
    <t>AE11_01_ate.csv</t>
  </si>
  <si>
    <t>06_TEST\04_EVIDENCE\RUN-20261017-01\csv\AE11_01_ate.csv</t>
  </si>
  <si>
    <t>AE11_00_time_note.txt</t>
  </si>
  <si>
    <t>로그</t>
  </si>
  <si>
    <t>06_TEST\04_EVIDENCE\RUN-20261017-01\logs\AE11_00_time_note.txt</t>
  </si>
  <si>
    <t>06_TEST\04_EVIDENCE\RUN-20261017-01\video\AE11_01_continuous_run.mp4</t>
  </si>
  <si>
    <t>ATE_READY/PLC_LIVE_OK ON/code0/STATE60/ID0/결과0/레코드공백.
AUTO3300/3000/3600, AE11 CSV 경로 확인.</t>
    <phoneticPr fontId="6" type="noConversion"/>
  </si>
  <si>
    <t>상태90/알람0, TOTAL8/PASS8, PASS게이트 명령/도달ON.
START 순간이 아닌 생산 진행 화면.</t>
    <phoneticPr fontId="6" type="noConversion"/>
  </si>
  <si>
    <t>센서RUN1/오류0, BOOT84/SEQ433, ACK_SEQ431/ACK횟수17, 초기화요청/ACK2.
중간 재시작 후 점검.</t>
    <phoneticPr fontId="6" type="noConversion"/>
  </si>
  <si>
    <t>환경RUN1/오류0, FX/LS허가ON, 복귀5/5, 26.40C/44.80%RH, 샘플892.
발행25377/수신25345, 실제쓰기/내부수신25345.</t>
    <phoneticPr fontId="6" type="noConversion"/>
  </si>
  <si>
    <t>상태90/알람0, TOTAL195/PASS195/나머지0, PASS게이트 명령/도달ON.</t>
    <phoneticPr fontId="6" type="noConversion"/>
  </si>
  <si>
    <t>AE11 CSV 최근결과197~201 모두AUTO3300/3000~3600/PASS.
최종 요청/수락ID201, 생산량201, 최근수락 UTC15:53:45Z.</t>
    <phoneticPr fontId="6" type="noConversion"/>
  </si>
  <si>
    <t>완료 후 센서RUN0/오류113.
TX6420/PREP6419/ACK6419/ACK횟수417, BOOT84/SEQ966/VALID1/STATUS0.
통신 현상은 시험자 승인으로 기능 판정 제외.</t>
    <phoneticPr fontId="6" type="noConversion"/>
  </si>
  <si>
    <t>9열/201행, ID1~201 연속, 요청/수락 불일치0/중복0.
모두AUTO3300/3000~3600/PASS1.
수락KST00:24:09~00:53:45, ID58~59 간격63초. TOTAL/PASS 증가201과 일치.</t>
    <phoneticPr fontId="6" type="noConversion"/>
  </si>
  <si>
    <t>시험자 기록 START00:24:00/단발00:53:40/완료수거00:53:48.
START~단발29분40초. OPC 재시작1회 기록, 기재시각은 영상 복구시각과 일치 검증되지 않음.</t>
    <phoneticPr fontId="6" type="noConversion"/>
  </si>
  <si>
    <t>전체1975.019초. 약3.1초 START, 510.1초 환경107, 557.1초 재START, 1780.1초 단발, 1790.1초201PASS/출력OFF.
완료 후1940초대 센서113 관측. 시험자 승인으로 생산/기록 기능 범위 합격,30분 무중단 검증은 제외.</t>
    <phoneticPr fontId="6" type="noConversion"/>
  </si>
  <si>
    <t>AE12_00_ate_ready.png</t>
  </si>
  <si>
    <t>06_TEST\04_EVIDENCE\RUN-20261017-01\screens\AE12_00_ate_ready.png</t>
  </si>
  <si>
    <t>AE12_00_main.png</t>
  </si>
  <si>
    <t>06_TEST\04_EVIDENCE\RUN-20261017-01\screens\AE12_00_main.png</t>
  </si>
  <si>
    <t>상태10/알람0, TOTAL201/PASS201/나머지0, 단발, 운전조건ON, 동작/감지OFF.</t>
  </si>
  <si>
    <t>AE12_01_ate_stopped.png</t>
  </si>
  <si>
    <t>06_TEST\04_EVIDENCE\RUN-20261017-01\screens\AE12_01_ate_stopped.png</t>
  </si>
  <si>
    <t>AE12_02_sensor_stopped.png</t>
  </si>
  <si>
    <t>06_TEST\04_EVIDENCE\RUN-20261017-01\screens\AE12_02_sensor_stopped.png</t>
  </si>
  <si>
    <t>AE12_02_environment_off.png</t>
  </si>
  <si>
    <t>06_TEST\04_EVIDENCE\RUN-20261017-01\screens\AE12_02_environment_off.png</t>
  </si>
  <si>
    <t>환경RUN1/오류0/단계50/자료확인ON 상태에서 FX/LS허가표시OFF, 복귀0/5, 발행/수신11266 일치.</t>
  </si>
  <si>
    <t>AE12_02_fx_permit0.png</t>
  </si>
  <si>
    <t>06_TEST\04_EVIDENCE\RUN-20261017-01\screens\AE12_02_fx_permit0.png</t>
  </si>
  <si>
    <t>GX 비트 모니터의 M100=0 직접 확인.</t>
  </si>
  <si>
    <t>AE12_02_ls_permit0.png</t>
  </si>
  <si>
    <t>06_TEST\04_EVIDENCE\RUN-20261017-01\screens\AE12_02_ls_permit0.png</t>
  </si>
  <si>
    <t>AE12_03_environment_stopped.png</t>
  </si>
  <si>
    <t>06_TEST\04_EVIDENCE\RUN-20261017-01\screens\AE12_03_environment_stopped.png</t>
  </si>
  <si>
    <t>AE12_03_sensor_stopped.png</t>
  </si>
  <si>
    <t>06_TEST\04_EVIDENCE\RUN-20261017-01\screens\AE12_03_sensor_stopped.png</t>
  </si>
  <si>
    <t>AE12_04_cimon_closed.png</t>
  </si>
  <si>
    <t>06_TEST\04_EVIDENCE\RUN-20261017-01\screens\AE12_04_cimon_closed.png</t>
  </si>
  <si>
    <t>AE12_00_exit_note.txt</t>
  </si>
  <si>
    <t>06_TEST\04_EVIDENCE\RUN-20261017-01\logs\AE12_00_exit_note.txt</t>
  </si>
  <si>
    <t>06_TEST\04_EVIDENCE\RUN-20261017-01\video\AE12_01_normal_shutdown.mp4</t>
  </si>
  <si>
    <t>ATE_READY/PLC_LIVE_OK ON/code0/STATE60/ID201/결과1.
마지막 레코드 UTC15:53:43Z/201/AUTO3300/3000/3600/PASS1, AE11 CSV 경로 유지.</t>
    <phoneticPr fontId="6" type="noConversion"/>
  </si>
  <si>
    <t>LabVIEW 사용자 정지/code0, ATE_READY OFF.
PLC_LIVE_OK 마지막ON 및 ID201/결과1/레코드 유지. 영상에서 VI 정지 보완.</t>
    <phoneticPr fontId="6" type="noConversion"/>
  </si>
  <si>
    <t>센서RUN0/오류0, 사용자 정지/FX 초기화 요청 메시지.
FX/LS동작확인ON, 초기화요청/ACK4, BOOT84/SEQ1142.</t>
    <phoneticPr fontId="6" type="noConversion"/>
  </si>
  <si>
    <t>실제 표시 주소는 M01100이며 값0으로 공정 출력OFF 확인.
M0100C 직접 모니터 사진으로 사용하지 않음.</t>
    <phoneticPr fontId="6" type="noConversion"/>
  </si>
  <si>
    <t>환경RUN0/오류0/단계0, 중계 정지/LS 무효워드 요청 메시지.
FX/LS허가OFF, 쓰기/내부수신32767.</t>
    <phoneticPr fontId="6" type="noConversion"/>
  </si>
  <si>
    <t>센서RUN0/오류0 유지, 사용자 정지 메시지, FX/LS동작확인OFF.
BOOT84/SEQ1179로 ESP 원시측정은 계속됨.</t>
    <phoneticPr fontId="6" type="noConversion"/>
  </si>
  <si>
    <t>CimonX 창이 없는 바탕화면.
작업관리자/프로세스 목록은 없으며, 종료 순서와 시간은 영상 및 최종 종료 메모로 확인.</t>
    <phoneticPr fontId="6" type="noConversion"/>
  </si>
  <si>
    <t>CimonX 종료조작KST01:05:32/확인01:05:40, 기록상8초.
응답 없음 미발생/강제 종료 미사용.</t>
    <phoneticPr fontId="6" type="noConversion"/>
  </si>
  <si>
    <t>전체294.233초.
VI 사용자 정지/code0 뒤 센서 중계OFF, 환경 허가OFF와 FX M100=0, 이후 환경 중계OFF 확인.
약153초 종료 메뉴/154초 확인창,161초 CimonX 창 소멸.
응답 없음/강제 종료 관측 없음.</t>
    <phoneticPr fontId="6" type="noConversion"/>
  </si>
  <si>
    <t>001</t>
    <phoneticPr fontId="6" type="noConversion"/>
  </si>
  <si>
    <t>002</t>
    <phoneticPr fontId="6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</si>
  <si>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</si>
  <si>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</si>
  <si>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</si>
  <si>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</si>
  <si>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</si>
  <si>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</si>
  <si>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</si>
  <si>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</si>
  <si>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</si>
  <si>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</si>
  <si>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</si>
  <si>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</si>
  <si>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</si>
  <si>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</si>
  <si>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</si>
  <si>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</si>
  <si>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</si>
  <si>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</si>
  <si>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</si>
  <si>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</si>
  <si>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001_DRAWING_INDEX_AND_DOCUMENT_BASIS.dwg / R0</t>
  </si>
  <si>
    <t>002_SYSTEM_ROLES_AND_PROCESS_SCOPE.dwg / R0</t>
  </si>
  <si>
    <t>003_CURRENT_COMMUNICATION_NETWORK.dwg / R0</t>
  </si>
  <si>
    <t>004_LOGICAL_IO_AND_WRITE_OWNERS.dwg / R0</t>
  </si>
  <si>
    <t>005_VIRTUAL_SAFETY_AND_STARTUP_CONDITIONS.dwg / R0</t>
  </si>
  <si>
    <t>006_LS_PROCESS_SEQUENCE_AND_RESULT_ROUTING.dwg / R0</t>
  </si>
  <si>
    <t>007_OPERATING_MODES_AND_RESTART_POLICY.dwg / R0</t>
  </si>
  <si>
    <t>008_LS_AND_VIRTUAL_ATE_REGISTER_TRANSACTION.dwg / R0</t>
  </si>
  <si>
    <t>009_LABVIEW_VIRTUAL_ATE_AND_ACCEPTANCE_CSV.dwg / R0</t>
  </si>
  <si>
    <t>010_ESP32_SENSOR_WIRING_AND_DATA_FRAME.dwg / R0</t>
  </si>
  <si>
    <t>011_FX_SENSOR_PREPARE_AND_COMMIT_AND_ACK.dwg / R0</t>
  </si>
  <si>
    <t>012_FX_ENVIRONMENTAL_JUDGMENT.dwg / R0</t>
  </si>
  <si>
    <t>013_FX_TO_LS_ENVIRONMENT_TELEGRAM.dwg / R0</t>
  </si>
  <si>
    <t>014_LS_ALARM_TIMER_AND_OUTPUT_INTERLOCKS.dwg / R0</t>
  </si>
  <si>
    <t>015_SIM_IO_PLANT_RESPONSE_AND_FAULT_INPUTS.dwg / R0</t>
  </si>
  <si>
    <t>016_CIMON_PAGES_COMMANDS_AND_DISPLAY.dwg / R0</t>
  </si>
  <si>
    <t>017_VERIFICATION_AND_EVIDENCE_REGISTER.dwg / R0</t>
  </si>
  <si>
    <t>018_PLANNED_AC_AND_DC_POWER_DISTRIBUTION.dwg / R0</t>
  </si>
  <si>
    <t>019_PLANNED_HARDWARE_SAFETY_ARCHITECTURE.dwg / R0</t>
  </si>
  <si>
    <t>020_PLANNED_PHYSICAL_DI_AND_RELAY_DO_MAPPING.dwg / R0</t>
  </si>
  <si>
    <t>021_PLANNED_PANEL_ZONE_AND_TERMINAL_GROUPS.dwg / R0</t>
  </si>
  <si>
    <t>022_PLANNED_FIELD_INTERFACES_AND_CABLE_SCHEDULE.dwg / R0</t>
  </si>
  <si>
    <t>001</t>
  </si>
  <si>
    <t>002</t>
  </si>
  <si>
    <t>02_PDF/02_FINAL/001_DRAWING_INDEX_AND_DOCUMENT_BASIS-DRAWING INDEX AND DOCUMENT BASIS.pdf / P01 RUN20261017-01-P01-A01 → P01_01_initial.png; AE01 RUN20261017-01-AE01-A01 → AE01_01_esp_monitor.png; AE11 RUN20261017-01-AE11-A01 → AE11_01_continuous_run.mp4; AE12 RUN20261017-01-AE12-A01 → AE12_01_normal_shutdown.mp4</t>
  </si>
  <si>
    <t>대조완료</t>
  </si>
  <si>
    <t>02_PDF/02_FINAL/002_SYSTEM_ROLES_AND_PROCESS_SCOPE-SYSTEM ROLES AND PROCESS SCOPE.pdf / P02 RUN20261017-01-P02-A01 → P02_01_cycle.mp4; P03 RUN20261017-01-P03-A01 → P03_01_cycle.mp4; P04 RUN20261017-01-P04-A01 → P04_01_cycle.mp4; P05 RUN20261017-01-P05-A01 → P05_06_mode_count_reset.mp4; P06 RUN20261017-01-P06-A01 → P06_01_continuous.mp4; AE02 RUN20261017-01-AE02-A01 → AE02_03_ate.csv</t>
  </si>
  <si>
    <t>02_PDF/02_FINAL/003_CURRENT_COMMUNICATION_NETWORK-CURRENT COMMUNICATION NETWORK.pdf / AE01 RUN20261017-01-AE01-A01 → AE01_01_esp_monitor.png; AE08 RUN20261017-01-AE08-A01 → AE08_01_power_loss_recovery.mp4; AE09 RUN20261017-01-AE09-A01 → AE09_01_fx_loss_recovery.mp4; AE10 RUN20261017-01-AE10-A01 → AE10_01_ls_loss_recovery.mp4; AE11 RUN20261017-01-AE11-A01 → AE11_01_continuous_run.mp4</t>
  </si>
  <si>
    <t>02_PDF/02_FINAL/004_LOGICAL_IO_AND_WRITE_OWNERS-LOGICAL I_O AND WRITE OWNERS.pdf / P01 RUN20261017-01-P01-A01 → P01_01_initial.png; P02 RUN20261017-01-P02-A01 → P02_01_cycle.mp4; P07 RUN20261017-01-P07-A01 → P07_00_stop_recovery.mp4; P08 RUN20261017-01-P08-A01 → P08_A_held_reset.mp4; P10 RUN20261017-01-P10-A01 → P10_01_timeout101.mp4; P11 RUN20261017-01-P11-A01 → P11_01_timeout102.mp4; P12 RUN20261017-01-P12-A01 → P12_01_timeout105.mp4; P13 RUN20261017-01-P13-A01 → P13_01_timeout106.mp4; P14 RUN20261017-01-P14-A01 → P14_01_timeout107.mp4; P15 RUN20261017-01-P15-A01 → P15_01_timeout109.mp4; AE01 RUN20261017-01-AE01-A01 → AE01_01_esp_monitor.png</t>
  </si>
  <si>
    <t>02_PDF/02_FINAL/005_VIRTUAL_SAFETY_AND_STARTUP_CONDITIONS-VIRTUAL SAFETY AND STARTUP CONDITIONS.pdf / P01 RUN20261017-01-P01-A01 → P01_01_initial.png; P07 RUN20261017-01-P07-A01 → P07_00_stop_recovery.mp4; P08 RUN20261017-01-P08-A01 → P08_A_held_reset.mp4; P16 RUN20261017-01-P16-A01 → P16_01_restart.mp4</t>
  </si>
  <si>
    <t>02_PDF/02_FINAL/006_LS_PROCESS_SEQUENCE_AND_RESULT_ROUTING-LS PROCESS SEQUENCE AND RESULT ROUTING.pdf / P02 RUN20261017-01-P02-A01 → P02_01_cycle.mp4; P03 RUN20261017-01-P03-A01 → P03_01_cycle.mp4; P04 RUN20261017-01-P04-A01 → P04_01_cycle.mp4; P07 RUN20261017-01-P07-A01 → P07_00_stop_recovery.mp4; P08 RUN20261017-01-P08-A01 → P08_A_held_reset.mp4; P10 RUN20261017-01-P10-A01 → P10_01_timeout101.mp4; P11 RUN20261017-01-P11-A01 → P11_01_timeout102.mp4; P12 RUN20261017-01-P12-A01 → P12_01_timeout105.mp4; P13 RUN20261017-01-P13-A01 → P13_01_timeout106.mp4; P14 RUN20261017-01-P14-A01 → P14_01_timeout107.mp4; P15 RUN20261017-01-P15-A01 → P15_01_timeout109.mp4; AE02 RUN20261017-01-AE02-A01 → AE02_03_ate.csv; P17 RUN20261017-01-P17-A02 → P17_01_timeout103.mp4</t>
  </si>
  <si>
    <t>02_PDF/02_FINAL/007_OPERATING_MODES_AND_RESTART_POLICY-OPERATING MODES AND RESTART POLICY.pdf / P05 RUN20261017-01-P05-A01 → P05_06_mode_count_reset.mp4; P06 RUN20261017-01-P06-A01 → P06_01_continuous.mp4; P07 RUN20261017-01-P07-A01 → P07_00_stop_recovery.mp4; P08 RUN20261017-01-P08-A01 → P08_A_held_reset.mp4; P09 RUN20261017-01-P09-A01 → P09_01_env_off.mp4; P16 RUN20261017-01-P16-A01 → P16_01_restart.mp4; AE11 RUN20261017-01-AE11-A01 → AE11_01_continuous_run.mp4</t>
  </si>
  <si>
    <t>02_PDF/02_FINAL/008_LS_AND_VIRTUAL_ATE_REGISTER_TRANSACTION-LS _ VIRTUAL ATE REGISTER TRANSACTION.pdf / P02 RUN20261017-01-P02-A01 → P02_01_cycle.mp4; P03 RUN20261017-01-P03-A01 → P03_01_cycle.mp4; P04 RUN20261017-01-P04-A01 → P04_01_cycle.mp4; AE01 RUN20261017-01-AE01-A01 → AE01_01_esp_monitor.png; AE02 RUN20261017-01-AE02-A01 → AE02_03_ate.csv; AE05 RUN20261017-01-AE05-A01 → AE05_01_ate.csv; P17 RUN20261017-01-P17-A02 → P17_01_timeout103.mp4</t>
  </si>
  <si>
    <t>P02, P03, P04, P12, P13, P14, P15, AE02, AE05, P17</t>
  </si>
  <si>
    <t>02_PDF/02_FINAL/009_LABVIEW_VIRTUAL_ATE_AND_ACCEPTANCE_CSV-LABVIEW VIRTUAL ATE AND ACCEPTANCE CSV.pdf / P02 RUN20261017-01-P02-A01 → P02_01_cycle.mp4; P03 RUN20261017-01-P03-A01 → P03_01_cycle.mp4; P04 RUN20261017-01-P04-A01 → P04_01_cycle.mp4; P12 RUN20261017-01-P12-A01 → P12_01_timeout105.mp4; P13 RUN20261017-01-P13-A01 → P13_01_timeout106.mp4; P14 RUN20261017-01-P14-A01 → P14_01_timeout107.mp4; P15 RUN20261017-01-P15-A01 → P15_01_timeout109.mp4; AE02 RUN20261017-01-AE02-A01 → AE02_03_ate.csv; AE05 RUN20261017-01-AE05-A01 → AE05_01_ate.csv; P17 RUN20261017-01-P17-A02 → P17_01_timeout103.mp4 / 제목 셀 경계 겹침: 경미한 편집 보완 권고</t>
  </si>
  <si>
    <t>02_PDF/02_FINAL/010_ESP32_SENSOR_WIRING_AND_DATA_FRAME-ESP32 SENSOR WIRING AND DATA FRAME.pdf / AE01 RUN20261017-01-AE01-A01 → AE01_01_esp_monitor.png; AE08 RUN20261017-01-AE08-A01 → AE08_01_power_loss_recovery.mp4</t>
  </si>
  <si>
    <t>02_PDF/02_FINAL/011_FX_SENSOR_PREPARE_AND_COMMIT_AND_ACK-FX SENSOR PREPARE _ COMMIT _ ACK.pdf / AE01 RUN20261017-01-AE01-A01 → AE01_01_esp_monitor.png; AE08 RUN20261017-01-AE08-A01 → AE08_01_power_loss_recovery.mp4; AE09 RUN20261017-01-AE09-A01 → AE09_01_fx_loss_recovery.mp4; AE11 RUN20261017-01-AE11-A01 → AE11_01_continuous_run.mp4</t>
  </si>
  <si>
    <t>02_PDF/02_FINAL/012_FX_ENVIRONMENTAL_JUDGMENT-FX ENVIRONMENTAL JUDGMENT.pdf / P09 RUN20261017-01-P09-A01 → P09_01_env_off.mp4; AE01 RUN20261017-01-AE01-A01 → AE01_01_esp_monitor.png; AE08 RUN20261017-01-AE08-A01 → AE08_01_power_loss_recovery.mp4; AE09 RUN20261017-01-AE09-A01 → AE09_01_fx_loss_recovery.mp4; AE11 RUN20261017-01-AE11-A01 → AE11_01_continuous_run.mp4</t>
  </si>
  <si>
    <t>02_PDF/02_FINAL/013_FX_TO_LS_ENVIRONMENT_TELEGRAM-FX TO LS ENVIRONMENT TELEGRAM.pdf / P09 RUN20261017-01-P09-A01 → P09_01_env_off.mp4; AE01 RUN20261017-01-AE01-A01 → AE01_01_esp_monitor.png; AE09 RUN20261017-01-AE09-A01 → AE09_01_fx_loss_recovery.mp4; AE10 RUN20261017-01-AE10-A01 → AE10_01_ls_loss_recovery.mp4; AE11 RUN20261017-01-AE11-A01 → AE11_01_continuous_run.mp4</t>
  </si>
  <si>
    <t>02_PDF/02_FINAL/014_LS_ALARM_TIMER_AND_OUTPUT_INTERLOCKS-LS ALARM TIMER AND OUTPUT INTERLOCKS.pdf / P07 RUN20261017-01-P07-A01 → P07_00_stop_recovery.mp4; P08 RUN20261017-01-P08-A01 → P08_A_held_reset.mp4; P10 RUN20261017-01-P10-A01 → P10_01_timeout101.mp4; P11 RUN20261017-01-P11-A01 → P11_01_timeout102.mp4; P12 RUN20261017-01-P12-A01 → P12_01_timeout105.mp4; P13 RUN20261017-01-P13-A01 → P13_01_timeout106.mp4; P14 RUN20261017-01-P14-A01 → P14_01_timeout107.mp4; P15 RUN20261017-01-P15-A01 → P15_01_timeout109.mp4; AE02 RUN20261017-01-AE02-A01 → AE02_03_ate.csv; P03 RUN20261017-01-P03-A01 → P03_01_cycle.mp4; P04 RUN20261017-01-P04-A01 → P04_01_cycle.mp4; P17 RUN20261017-01-P17-A02 → P17_01_timeout103.mp4</t>
  </si>
  <si>
    <t>02_PDF/02_FINAL/015_SIM_IO_PLANT_RESPONSE_AND_FAULT_INPUTS-SIM_IO PLANT RESPONSE AND FAULT INPUTS.pdf / P01 RUN20261017-01-P01-A01 → P01_01_initial.png; P02 RUN20261017-01-P02-A01 → P02_01_cycle.mp4; P03 RUN20261017-01-P03-A01 → P03_01_cycle.mp4; P04 RUN20261017-01-P04-A01 → P04_01_cycle.mp4; P06 RUN20261017-01-P06-A01 → P06_01_continuous.mp4; P07 RUN20261017-01-P07-A01 → P07_00_stop_recovery.mp4; P08 RUN20261017-01-P08-A01 → P08_A_held_reset.mp4; P09 RUN20261017-01-P09-A01 → P09_01_env_off.mp4; P10 RUN20261017-01-P10-A01 → P10_01_timeout101.mp4; P11 RUN20261017-01-P11-A01 → P11_01_timeout102.mp4; P12 RUN20261017-01-P12-A01 → P12_01_timeout105.mp4; P13 RUN20261017-01-P13-A01 → P13_01_timeout106.mp4; P14 RUN20261017-01-P14-A01 → P14_01_timeout107.mp4; P15 RUN20261017-01-P15-A01 → P15_01_timeout109.mp4</t>
  </si>
  <si>
    <t>02_PDF/02_FINAL/016_CIMON_PAGES_COMMANDS_AND_DISPLAY-CIMON PAGES COMMANDS AND DISPLAY.pdf / P01 RUN20261017-01-P01-A01 → P01_01_initial.png; P02 RUN20261017-01-P02-A01 → P02_01_cycle.mp4; P03 RUN20261017-01-P03-A01 → P03_01_cycle.mp4; P04 RUN20261017-01-P04-A01 → P04_01_cycle.mp4; P05 RUN20261017-01-P05-A01 → P05_06_mode_count_reset.mp4; P06 RUN20261017-01-P06-A01 → P06_01_continuous.mp4; P07 RUN20261017-01-P07-A01 → P07_00_stop_recovery.mp4; P08 RUN20261017-01-P08-A01 → P08_A_held_reset.mp4; AE01 RUN20261017-01-AE01-A01 → AE01_01_esp_monitor.png; AE05 RUN20261017-01-AE05-A01 → AE05_01_ate.csv; AE08 RUN20261017-01-AE08-A01 → AE08_01_power_loss_recovery.mp4; AE11 RUN20261017-01-AE11-A01 → AE11_01_continuous_run.mp4; P17 RUN20261017-01-P17-A02 → P17_01_timeout103.mp4</t>
  </si>
  <si>
    <t>P01, P02, P03, P04, P05, P06, P07, P08, P09, P10, P11, P12, P13, P14, P15, P16, AE01, AE02, AE05, AE08, AE09, AE10, AE11, AE12, P17</t>
  </si>
  <si>
    <t>기능시험 해당 없음 - 개념도 문서 검토</t>
  </si>
  <si>
    <t>02_PDF/02_FINAL/018_PLANNED_AC_AND_DC_POWER_DISTRIBUTION-PLANNED AC AND DC POWER DISTRIBUTION.pdf / 개념 설계 문서 검토. 실물 제작·결선·안전 성능 검증 제외. CONCEPT / NOT FOR CONSTRUCTION 상태 문구 유지(사용자 결정).</t>
  </si>
  <si>
    <t>개념검토완료</t>
  </si>
  <si>
    <t>02_PDF/02_FINAL/019_PLANNED_HARDWARE_SAFETY_ARCHITECTURE-PLANNED HARDWARE SAFETY ARCHITECTURE.pdf / 개념 설계 문서 검토. 실물 제작·결선·안전 성능 검증 제외. CONCEPT / NOT FOR CONSTRUCTION 상태 문구 유지(사용자 결정).</t>
  </si>
  <si>
    <t>02_PDF/02_FINAL/020_PLANNED_PHYSICAL_DI_AND_RELAY_DO_MAPPING-PLANNED PHYSICAL DI AND RELAY DO MAPPING.pdf / 개념 설계 문서 검토. 실물 제작·결선·안전 성능 검증 제외. CONCEPT / NOT FOR CONSTRUCTION 상태 문구 유지(사용자 결정). / 마지막 주석 셀 경계 겹침: 경미한 편집 보완 권고</t>
  </si>
  <si>
    <t>02_PDF/02_FINAL/021_PLANNED_PANEL_ZONE_AND_TERMINAL_GROUPS-PLANNED PANEL ZONE AND TERMINAL GROUPS.pdf / 개념 설계 문서 검토. 실물 제작·결선·안전 성능 검증 제외. CONCEPT / NOT FOR CONSTRUCTION 상태 문구 유지(사용자 결정).</t>
  </si>
  <si>
    <t>02_PDF/02_FINAL/022_PLANNED_FIELD_INTERFACES_AND_CABLE_SCHEDULE-PLANNED FIELD INTERFACES AND CABLE SCHEDULE.pdf / 개념 설계 문서 검토. 실물 제작·결선·안전 성능 검증 제외. CONCEPT / NOT FOR CONSTRUCTION 상태 문구 유지(사용자 결정). / 마지막 주석 셀 경계 겹침: 경미한 편집 보완 권고</t>
  </si>
  <si>
    <t>02_PDF/02_FINAL/017_VERIFICATION_AND_EVIDENCE_REGISTER-VERIFICATION AND EVIDENCE REGISTER.pdf / P01 RUN20261017-01-P01-A01 → P01_01_initial.png; P02 RUN20261017-01-P02-A01 → P02_01_cycle.mp4; P03 RUN20261017-01-P03-A01 → P03_01_cycle.mp4; P04 RUN20261017-01-P04-A01 → P04_01_cycle.mp4; P05 RUN20261017-01-P05-A01 → P05_06_mode_count_reset.mp4; P06 RUN20261017-01-P06-A01 → P06_01_continuous.mp4; P07 RUN20261017-01-P07-A01 → P07_00_stop_recovery.mp4; P08 RUN20261017-01-P08-A01 → P08_A_held_reset.mp4; P09 RUN20261017-01-P09-A01 → P09_01_env_off.mp4; P10 RUN20261017-01-P10-A01 → P10_01_timeout101.mp4; P11 RUN20261017-01-P11-A01 → P11_01_timeout102.mp4; P12 RUN20261017-01-P12-A01 → P12_01_timeout105.mp4; P13 RUN20261017-01-P13-A01 → P13_01_timeout106.mp4; P14 RUN20261017-01-P14-A01 → P14_01_timeout107.mp4; P15 RUN20261017-01-P15-A01 → P15_01_timeout109.mp4; P16 RUN20261017-01-P16-A01 → P16_01_restart.mp4; AE01 RUN20261017-01-AE01-A01 → AE01_01_esp_monitor.png; AE02 RUN20261017-01-AE02-A01 → AE02_03_ate.csv; AE05 RUN20261017-01-AE05-A01 → AE05_01_ate.csv; AE08 RUN20261017-01-AE08-A01 → AE08_01_power_loss_recovery.mp4; AE09 RUN20261017-01-AE09-A01 → AE09_01_fx_loss_recovery.mp4; AE10 RUN20261017-01-AE10-A01 → AE10_01_ls_loss_recovery.mp4; AE11 RUN20261017-01-AE11-A01 → AE11_01_continuous_run.mp4; AE12 RUN20261017-01-AE12-A01 → AE12_01_normal_shutdown.mp4; P17 RUN20261017-01-P17-A02 → P17_01_timeout103.mp4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</si>
</sst>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yyyy\-mm\-dd"/>
  </numFmts>
  <fonts count="8">
    <font>
      <sz val="11"/>
      <name val="Carlito"/>
    </font>
    <font>
      <sz val="10"/>
      <color rgb="FF1C2D3D"/>
      <name val="Malgun Gothic"/>
      <family val="3"/>
      <charset val="129"/>
    </font>
    <font>
      <b/>
      <sz val="14"/>
      <color rgb="FF263F58"/>
      <name val="Malgun Gothic"/>
      <family val="3"/>
      <charset val="129"/>
    </font>
    <font>
      <sz val="10"/>
      <color rgb="FF5E6B78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0"/>
      <color rgb="FF1C2D3D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63F58"/>
      </patternFill>
    </fill>
    <fill>
      <patternFill patternType="solid">
        <fgColor rgb="FFF2F5F8"/>
      </patternFill>
    </fill>
    <fill>
      <patternFill patternType="solid">
        <fgColor rgb="FFFFF6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A5B5C5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1" fillId="4" borderId="0" xfId="1" applyFont="1" applyFill="1" applyAlignment="1">
      <alignment vertical="top" wrapText="1"/>
    </xf>
    <xf numFmtId="176" fontId="1" fillId="4" borderId="0" xfId="1" applyNumberFormat="1" applyFont="1" applyFill="1" applyAlignment="1">
      <alignment vertical="top" wrapText="1"/>
    </xf>
    <xf numFmtId="1" fontId="1" fillId="4" borderId="0" xfId="1" applyNumberFormat="1" applyFont="1" applyFill="1" applyAlignment="1">
      <alignment vertical="top" wrapText="1"/>
    </xf>
    <xf numFmtId="177" fontId="1" fillId="4" borderId="0" xfId="1" applyNumberFormat="1" applyFont="1" applyFill="1" applyAlignment="1">
      <alignment vertical="top" wrapText="1"/>
    </xf>
    <xf numFmtId="0" fontId="7" fillId="4" borderId="0" xfId="1" applyFont="1" applyFill="1" applyAlignment="1">
      <alignment vertical="top" wrapText="1"/>
    </xf>
    <xf numFmtId="0" fontId="0" fillId="3" borderId="0" xfId="1" applyFont="1" applyFill="1" applyAlignment="1">
      <alignment vertical="top" wrapText="1"/>
    </xf>
    <xf numFmtId="0" fontId="0" fillId="0" borderId="0" xfId="1" applyFont="1" applyAlignment="1">
      <alignment vertical="top" wrapText="1"/>
    </xf>
    <xf numFmtId="49" fontId="1" fillId="3" borderId="0" xfId="1" applyNumberFormat="1" applyFont="1" applyFill="1" applyAlignment="1">
      <alignment vertical="top" wrapText="1"/>
    </xf>
    <xf numFmtId="49" fontId="1" fillId="0" borderId="0" xfId="1" applyNumberFormat="1" applyFont="1" applyAlignment="1">
      <alignment vertical="top" wrapText="1"/>
    </xf>
    <xf numFmtId="49" fontId="1" fillId="4" borderId="0" xfId="1" applyNumberFormat="1" applyFont="1" applyFill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9">
    <dxf>
      <font>
        <b/>
        <color rgb="FF8A2922"/>
      </font>
      <fill>
        <patternFill patternType="solid">
          <bgColor rgb="FFFFF0CC"/>
        </patternFill>
      </fill>
    </dxf>
    <dxf>
      <font>
        <b/>
        <color rgb="FF8A2922"/>
      </font>
      <fill>
        <patternFill patternType="solid">
          <bgColor rgb="FFFBE2E0"/>
        </patternFill>
      </fill>
    </dxf>
    <dxf>
      <font>
        <b/>
        <color rgb="FF8A2922"/>
      </font>
      <fill>
        <patternFill patternType="solid">
          <bgColor rgb="FFFFF0CC"/>
        </patternFill>
      </fill>
    </dxf>
    <dxf>
      <font>
        <b/>
        <color rgb="FF8A2922"/>
      </font>
      <fill>
        <patternFill patternType="solid">
          <bgColor rgb="FFFBE2E0"/>
        </patternFill>
      </fill>
    </dxf>
    <dxf>
      <font>
        <b/>
        <color rgb="FF8A2922"/>
      </font>
      <fill>
        <patternFill patternType="solid">
          <bgColor rgb="FFFFF0CC"/>
        </patternFill>
      </fill>
    </dxf>
    <dxf>
      <font>
        <b/>
        <color rgb="FF8A2922"/>
      </font>
      <fill>
        <patternFill patternType="solid">
          <bgColor rgb="FFFBE2E0"/>
        </patternFill>
      </fill>
    </dxf>
    <dxf>
      <font>
        <b/>
        <color rgb="FF8A2922"/>
      </font>
      <fill>
        <patternFill patternType="solid">
          <bgColor rgb="FFFFF0CC"/>
        </patternFill>
      </fill>
    </dxf>
    <dxf>
      <font>
        <b/>
        <color rgb="FF8A2922"/>
      </font>
      <fill>
        <patternFill patternType="solid">
          <bgColor rgb="FFFBE2E0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Coverage" displayName="CaseCoverage" ref="A5:J30" totalsRowShown="0">
  <autoFilter ref="A5:J30" xr:uid="{00000000-0009-0000-0100-000001000000}"/>
  <tableColumns count="10">
    <tableColumn id="1" xr3:uid="{00000000-0010-0000-0000-000001000000}" name="시험ID"/>
    <tableColumn id="2" xr3:uid="{00000000-0010-0000-0000-000002000000}" name="단계"/>
    <tableColumn id="3" xr3:uid="{00000000-0010-0000-0000-000003000000}" name="시험명"/>
    <tableColumn id="4" xr3:uid="{00000000-0010-0000-0000-000004000000}" name="구분"/>
    <tableColumn id="5" xr3:uid="{00000000-0010-0000-0000-000005000000}" name="최종실행ID"/>
    <tableColumn id="6" xr3:uid="{00000000-0010-0000-0000-000006000000}" name="판정"/>
    <tableColumn id="7" xr3:uid="{00000000-0010-0000-0000-000007000000}" name="대표증거ID"/>
    <tableColumn id="8" xr3:uid="{00000000-0010-0000-0000-000008000000}" name="증거 연결"/>
    <tableColumn id="9" xr3:uid="{00000000-0010-0000-0000-000009000000}" name="도면 참조"/>
    <tableColumn id="10" xr3:uid="{00000000-0010-0000-0000-00000A000000}" name="검토 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Executions" displayName="TestExecutions" ref="A5:L30" totalsRowShown="0">
  <autoFilter ref="A5:L30" xr:uid="{00000000-0009-0000-0100-000002000000}"/>
  <tableColumns count="12">
    <tableColumn id="1" xr3:uid="{00000000-0010-0000-0100-000001000000}" name="실행ID"/>
    <tableColumn id="2" xr3:uid="{00000000-0010-0000-0100-000002000000}" name="시험ID"/>
    <tableColumn id="3" xr3:uid="{00000000-0010-0000-0100-000003000000}" name="차수"/>
    <tableColumn id="4" xr3:uid="{00000000-0010-0000-0100-000004000000}" name="기준선ID"/>
    <tableColumn id="5" xr3:uid="{00000000-0010-0000-0100-000005000000}" name="시작시각 KST"/>
    <tableColumn id="6" xr3:uid="{00000000-0010-0000-0100-000006000000}" name="종료시각 KST"/>
    <tableColumn id="7" xr3:uid="{00000000-0010-0000-0100-000007000000}" name="실제 관측 결과"/>
    <tableColumn id="8" xr3:uid="{00000000-0010-0000-0100-000008000000}" name="전후 누계·CSV행·요청/수락ID"/>
    <tableColumn id="9" xr3:uid="{00000000-0010-0000-0100-000009000000}" name="대표증거ID"/>
    <tableColumn id="10" xr3:uid="{00000000-0010-0000-0100-00000A000000}" name="판정"/>
    <tableColumn id="11" xr3:uid="{00000000-0010-0000-0100-00000B000000}" name="문제ID"/>
    <tableColumn id="12" xr3:uid="{00000000-0010-0000-0100-00000C000000}" name="원실행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Baseline" displayName="TestBaseline" ref="A5:F31" totalsRowShown="0">
  <autoFilter ref="A5:F31" xr:uid="{00000000-0009-0000-0100-000003000000}"/>
  <tableColumns count="6">
    <tableColumn id="1" xr3:uid="{00000000-0010-0000-0200-000001000000}" name="항목ID"/>
    <tableColumn id="2" xr3:uid="{00000000-0010-0000-0200-000002000000}" name="구분"/>
    <tableColumn id="3" xr3:uid="{00000000-0010-0000-0200-000003000000}" name="기준값·확인 근거"/>
    <tableColumn id="4" xr3:uid="{00000000-0010-0000-0200-000004000000}" name="이번 실제값·파일/경로"/>
    <tableColumn id="5" xr3:uid="{00000000-0010-0000-0200-000005000000}" name="증거ID"/>
    <tableColumn id="6" xr3:uid="{00000000-0010-0000-0200-000006000000}" name="확인할 내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idenceRegister" displayName="EvidenceRegister" ref="A5:F393" totalsRowShown="0">
  <autoFilter ref="A5:F393" xr:uid="{00000000-0009-0000-0100-000004000000}"/>
  <tableColumns count="6">
    <tableColumn id="1" xr3:uid="{00000000-0010-0000-0300-000001000000}" name="증거ID"/>
    <tableColumn id="2" xr3:uid="{00000000-0010-0000-0300-000002000000}" name="실행ID"/>
    <tableColumn id="3" xr3:uid="{00000000-0010-0000-0300-000003000000}" name="유형"/>
    <tableColumn id="4" xr3:uid="{00000000-0010-0000-0300-000004000000}" name="파일 상대경로"/>
    <tableColumn id="5" xr3:uid="{00000000-0010-0000-0300-000005000000}" name="실제 확보시각 KST"/>
    <tableColumn id="6" xr3:uid="{00000000-0010-0000-0300-000006000000}" name="내용·확인값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ssueRetest" displayName="IssueRetest" ref="A5:K8" totalsRowShown="0">
  <autoFilter ref="A5:K8" xr:uid="{00000000-0009-0000-0100-000005000000}"/>
  <tableColumns count="11">
    <tableColumn id="1" xr3:uid="{00000000-0010-0000-0400-000001000000}" name="문제ID"/>
    <tableColumn id="2" xr3:uid="{00000000-0010-0000-0400-000002000000}" name="최초실행ID"/>
    <tableColumn id="3" xr3:uid="{00000000-0010-0000-0400-000003000000}" name="기대 동작"/>
    <tableColumn id="4" xr3:uid="{00000000-0010-0000-0400-000004000000}" name="실제 현상"/>
    <tableColumn id="5" xr3:uid="{00000000-0010-0000-0400-000005000000}" name="오류 출처·번호"/>
    <tableColumn id="6" xr3:uid="{00000000-0010-0000-0400-000006000000}" name="원인·확인 근거"/>
    <tableColumn id="7" xr3:uid="{00000000-0010-0000-0400-000007000000}" name="수정 내용·기준선"/>
    <tableColumn id="8" xr3:uid="{00000000-0010-0000-0400-000008000000}" name="재시험 실행ID"/>
    <tableColumn id="9" xr3:uid="{00000000-0010-0000-0400-000009000000}" name="상태"/>
    <tableColumn id="10" xr3:uid="{00000000-0010-0000-0400-00000A000000}" name="종료 증거ID"/>
    <tableColumn id="11" xr3:uid="{00000000-0010-0000-0400-00000B000000}" name="남은 영향·비고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rawingCloseout" displayName="DrawingCloseout" ref="A5:I27" totalsRowShown="0">
  <autoFilter ref="A5:I27" xr:uid="{00000000-0009-0000-0100-000006000000}"/>
  <tableColumns count="9">
    <tableColumn id="1" xr3:uid="{00000000-0010-0000-0500-000001000000}" name="참조ID"/>
    <tableColumn id="2" xr3:uid="{00000000-0010-0000-0500-000002000000}" name="도면명"/>
    <tableColumn id="3" xr3:uid="{00000000-0010-0000-0500-000003000000}" name="실제 도면번호" dataDxfId="8"/>
    <tableColumn id="4" xr3:uid="{00000000-0010-0000-0500-000004000000}" name="파일명·개정"/>
    <tableColumn id="5" xr3:uid="{00000000-0010-0000-0500-000005000000}" name="핵심 대조 항목"/>
    <tableColumn id="6" xr3:uid="{00000000-0010-0000-0500-000006000000}" name="연관 시험ID"/>
    <tableColumn id="7" xr3:uid="{00000000-0010-0000-0500-000007000000}" name="실제 근거·증거ID"/>
    <tableColumn id="8" xr3:uid="{00000000-0010-0000-0500-000008000000}" name="검토 상태"/>
    <tableColumn id="9" xr3:uid="{00000000-0010-0000-0500-000009000000}" name="검토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F58"/>
    <pageSetUpPr fitToPage="1"/>
  </sheetPr>
  <dimension ref="A1:J31"/>
  <sheetViews>
    <sheetView showGridLines="0" tabSelected="1" workbookViewId="0">
      <pane xSplit="1" ySplit="5" topLeftCell="B6" activePane="bottomRight" state="frozen"/>
      <selection activeCell="J19" sqref="J19"/>
      <selection pane="topRight" activeCell="J19" sqref="J19"/>
      <selection pane="bottomLeft" activeCell="J19" sqref="J19"/>
      <selection pane="bottomRight" activeCell="M23" sqref="M23"/>
    </sheetView>
  </sheetViews>
  <sheetFormatPr defaultRowHeight="14.25"/>
  <cols>
    <col min="1" max="1" width="6.5" customWidth="1"/>
    <col min="2" max="2" width="15.125" bestFit="1" customWidth="1"/>
    <col min="3" max="3" width="49" customWidth="1"/>
    <col min="4" max="4" width="8.75" bestFit="1" customWidth="1"/>
    <col min="5" max="5" width="23.5" bestFit="1" customWidth="1"/>
    <col min="6" max="6" width="8.75" bestFit="1" customWidth="1"/>
    <col min="7" max="7" width="29.375" bestFit="1" customWidth="1"/>
    <col min="8" max="8" width="8.125" customWidth="1"/>
    <col min="9" max="9" width="42" customWidth="1"/>
    <col min="10" max="10" width="12.625" bestFit="1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27.95" customHeight="1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 spans="1:10" ht="27.95" customHeight="1">
      <c r="A6" s="7" t="s">
        <v>12</v>
      </c>
      <c r="B6" s="7" t="s">
        <v>13</v>
      </c>
      <c r="C6" s="7" t="s">
        <v>14</v>
      </c>
      <c r="D6" s="7" t="s">
        <v>15</v>
      </c>
      <c r="E6" s="8" t="s">
        <v>314</v>
      </c>
      <c r="F6" s="7" t="str">
        <f>IF(E6="","미실시",IF(COUNTIFS(실행기록!$A$6:$A$30,E6)&lt;&gt;1,"실행ID 확인",IF(INDEX(실행기록!$B$6:$B$30,MATCH(E6,실행기록!$A$6:$A$30,0))&lt;&gt;A6,"시험ID 불일치",IF(INDEX(실행기록!$J$6:$J$30,MATCH(E6,실행기록!$A$6:$A$30,0))="","판정 없음",IF(AND(INDEX(실행기록!$J$6:$J$30,MATCH(E6,실행기록!$A$6:$A$30,0))="합격",OR(INDEX(실행기록!$D$6:$D$30,MATCH(E6,실행기록!$A$6:$A$30,0))="",INDEX(실행기록!$E$6:$E$30,MATCH(E6,실행기록!$A$6:$A$30,0))="",INDEX(실행기록!$F$6:$F$30,MATCH(E6,실행기록!$A$6:$A$30,0))="",INDEX(실행기록!$G$6:$G$30,MATCH(E6,실행기록!$A$6:$A$30,0))="")),"기록 미완료",INDEX(실행기록!$J$6:$J$30,MATCH(E6,실행기록!$A$6:$A$30,0)))))))</f>
        <v>합격</v>
      </c>
      <c r="G6" s="7" t="str">
        <f>IF(E6="","",IF(COUNTIFS(실행기록!$A$6:$A$30,E6)&lt;&gt;1,"",IF(INDEX(실행기록!$B$6:$B$30,MATCH(E6,실행기록!$A$6:$A$30,0))&lt;&gt;A6,"",IF(INDEX(실행기록!$I$6:$I$30,MATCH(E6,실행기록!$A$6:$A$30,0))="","",INDEX(실행기록!$I$6:$I$30,MATCH(E6,실행기록!$A$6:$A$30,0))))))</f>
        <v>P01_01_initial.png</v>
      </c>
      <c r="H6" s="13" t="str">
        <f>IF(E6="","미연결",IF(G6="","증거 없음",IF(COUNTIFS(증거목록!$A$6:$A$393,G6)&lt;&gt;1,"미등록/중복",IF(INDEX(증거목록!$B$6:$B$393,MATCH(G6,증거목록!$A$6:$A$393,0))&lt;&gt;E6,"증거 실행ID 불일치",IF(INDEX(증거목록!$D$6:$D$393,MATCH(G6,증거목록!$A$6:$A$393,0))="","경로 없음","등록됨")))))</f>
        <v>등록됨</v>
      </c>
      <c r="I6" s="7" t="s">
        <v>16</v>
      </c>
      <c r="J6" s="8"/>
    </row>
    <row r="7" spans="1:10" ht="27.95" customHeight="1">
      <c r="A7" s="6" t="s">
        <v>17</v>
      </c>
      <c r="B7" s="6" t="s">
        <v>13</v>
      </c>
      <c r="C7" s="6" t="s">
        <v>18</v>
      </c>
      <c r="D7" s="6" t="s">
        <v>15</v>
      </c>
      <c r="E7" s="8" t="s">
        <v>345</v>
      </c>
      <c r="F7" s="6" t="str">
        <f>IF(E7="","미실시",IF(COUNTIFS(실행기록!$A$6:$A$30,E7)&lt;&gt;1,"실행ID 확인",IF(INDEX(실행기록!$B$6:$B$30,MATCH(E7,실행기록!$A$6:$A$30,0))&lt;&gt;A7,"시험ID 불일치",IF(INDEX(실행기록!$J$6:$J$30,MATCH(E7,실행기록!$A$6:$A$30,0))="","판정 없음",IF(AND(INDEX(실행기록!$J$6:$J$30,MATCH(E7,실행기록!$A$6:$A$30,0))="합격",OR(INDEX(실행기록!$D$6:$D$30,MATCH(E7,실행기록!$A$6:$A$30,0))="",INDEX(실행기록!$E$6:$E$30,MATCH(E7,실행기록!$A$6:$A$30,0))="",INDEX(실행기록!$F$6:$F$30,MATCH(E7,실행기록!$A$6:$A$30,0))="",INDEX(실행기록!$G$6:$G$30,MATCH(E7,실행기록!$A$6:$A$30,0))="")),"기록 미완료",INDEX(실행기록!$J$6:$J$30,MATCH(E7,실행기록!$A$6:$A$30,0)))))))</f>
        <v>합격</v>
      </c>
      <c r="G7" s="6" t="str">
        <f>IF(E7="","",IF(COUNTIFS(실행기록!$A$6:$A$30,E7)&lt;&gt;1,"",IF(INDEX(실행기록!$B$6:$B$30,MATCH(E7,실행기록!$A$6:$A$30,0))&lt;&gt;A7,"",IF(INDEX(실행기록!$I$6:$I$30,MATCH(E7,실행기록!$A$6:$A$30,0))="","",INDEX(실행기록!$I$6:$I$30,MATCH(E7,실행기록!$A$6:$A$30,0))))))</f>
        <v>AE01_01_esp_monitor.png</v>
      </c>
      <c r="H7" s="14" t="str">
        <f>IF(E7="","미연결",IF(G7="","증거 없음",IF(COUNTIFS(증거목록!$A$6:$A$393,G7)&lt;&gt;1,"미등록/중복",IF(INDEX(증거목록!$B$6:$B$393,MATCH(G7,증거목록!$A$6:$A$393,0))&lt;&gt;E7,"증거 실행ID 불일치",IF(INDEX(증거목록!$D$6:$D$393,MATCH(G7,증거목록!$A$6:$A$393,0))="","경로 없음","등록됨")))))</f>
        <v>등록됨</v>
      </c>
      <c r="I7" s="6" t="s">
        <v>19</v>
      </c>
      <c r="J7" s="8"/>
    </row>
    <row r="8" spans="1:10" ht="27.95" customHeight="1">
      <c r="A8" s="7" t="s">
        <v>20</v>
      </c>
      <c r="B8" s="7" t="s">
        <v>21</v>
      </c>
      <c r="C8" s="7" t="s">
        <v>22</v>
      </c>
      <c r="D8" s="7" t="s">
        <v>15</v>
      </c>
      <c r="E8" s="8" t="s">
        <v>408</v>
      </c>
      <c r="F8" s="7" t="str">
        <f>IF(E8="","미실시",IF(COUNTIFS(실행기록!$A$6:$A$30,E8)&lt;&gt;1,"실행ID 확인",IF(INDEX(실행기록!$B$6:$B$30,MATCH(E8,실행기록!$A$6:$A$30,0))&lt;&gt;A8,"시험ID 불일치",IF(INDEX(실행기록!$J$6:$J$30,MATCH(E8,실행기록!$A$6:$A$30,0))="","판정 없음",IF(AND(INDEX(실행기록!$J$6:$J$30,MATCH(E8,실행기록!$A$6:$A$30,0))="합격",OR(INDEX(실행기록!$D$6:$D$30,MATCH(E8,실행기록!$A$6:$A$30,0))="",INDEX(실행기록!$E$6:$E$30,MATCH(E8,실행기록!$A$6:$A$30,0))="",INDEX(실행기록!$F$6:$F$30,MATCH(E8,실행기록!$A$6:$A$30,0))="",INDEX(실행기록!$G$6:$G$30,MATCH(E8,실행기록!$A$6:$A$30,0))="")),"기록 미완료",INDEX(실행기록!$J$6:$J$30,MATCH(E8,실행기록!$A$6:$A$30,0)))))))</f>
        <v>합격</v>
      </c>
      <c r="G8" s="7" t="str">
        <f>IF(E8="","",IF(COUNTIFS(실행기록!$A$6:$A$30,E8)&lt;&gt;1,"",IF(INDEX(실행기록!$B$6:$B$30,MATCH(E8,실행기록!$A$6:$A$30,0))&lt;&gt;A8,"",IF(INDEX(실행기록!$I$6:$I$30,MATCH(E8,실행기록!$A$6:$A$30,0))="","",INDEX(실행기록!$I$6:$I$30,MATCH(E8,실행기록!$A$6:$A$30,0))))))</f>
        <v>P02_01_cycle.mp4</v>
      </c>
      <c r="H8" s="13" t="str">
        <f>IF(E8="","미연결",IF(G8="","증거 없음",IF(COUNTIFS(증거목록!$A$6:$A$393,G8)&lt;&gt;1,"미등록/중복",IF(INDEX(증거목록!$B$6:$B$393,MATCH(G8,증거목록!$A$6:$A$393,0))&lt;&gt;E8,"증거 실행ID 불일치",IF(INDEX(증거목록!$D$6:$D$393,MATCH(G8,증거목록!$A$6:$A$393,0))="","경로 없음","등록됨")))))</f>
        <v>등록됨</v>
      </c>
      <c r="I8" s="7" t="s">
        <v>23</v>
      </c>
      <c r="J8" s="8"/>
    </row>
    <row r="9" spans="1:10" ht="27.95" customHeight="1">
      <c r="A9" s="6" t="s">
        <v>24</v>
      </c>
      <c r="B9" s="6" t="s">
        <v>21</v>
      </c>
      <c r="C9" s="6" t="s">
        <v>25</v>
      </c>
      <c r="D9" s="6" t="s">
        <v>15</v>
      </c>
      <c r="E9" s="8" t="s">
        <v>436</v>
      </c>
      <c r="F9" s="6" t="str">
        <f>IF(E9="","미실시",IF(COUNTIFS(실행기록!$A$6:$A$30,E9)&lt;&gt;1,"실행ID 확인",IF(INDEX(실행기록!$B$6:$B$30,MATCH(E9,실행기록!$A$6:$A$30,0))&lt;&gt;A9,"시험ID 불일치",IF(INDEX(실행기록!$J$6:$J$30,MATCH(E9,실행기록!$A$6:$A$30,0))="","판정 없음",IF(AND(INDEX(실행기록!$J$6:$J$30,MATCH(E9,실행기록!$A$6:$A$30,0))="합격",OR(INDEX(실행기록!$D$6:$D$30,MATCH(E9,실행기록!$A$6:$A$30,0))="",INDEX(실행기록!$E$6:$E$30,MATCH(E9,실행기록!$A$6:$A$30,0))="",INDEX(실행기록!$F$6:$F$30,MATCH(E9,실행기록!$A$6:$A$30,0))="",INDEX(실행기록!$G$6:$G$30,MATCH(E9,실행기록!$A$6:$A$30,0))="")),"기록 미완료",INDEX(실행기록!$J$6:$J$30,MATCH(E9,실행기록!$A$6:$A$30,0)))))))</f>
        <v>합격</v>
      </c>
      <c r="G9" s="6" t="str">
        <f>IF(E9="","",IF(COUNTIFS(실행기록!$A$6:$A$30,E9)&lt;&gt;1,"",IF(INDEX(실행기록!$B$6:$B$30,MATCH(E9,실행기록!$A$6:$A$30,0))&lt;&gt;A9,"",IF(INDEX(실행기록!$I$6:$I$30,MATCH(E9,실행기록!$A$6:$A$30,0))="","",INDEX(실행기록!$I$6:$I$30,MATCH(E9,실행기록!$A$6:$A$30,0))))))</f>
        <v>P03_01_cycle.mp4</v>
      </c>
      <c r="H9" s="14" t="str">
        <f>IF(E9="","미연결",IF(G9="","증거 없음",IF(COUNTIFS(증거목록!$A$6:$A$393,G9)&lt;&gt;1,"미등록/중복",IF(INDEX(증거목록!$B$6:$B$393,MATCH(G9,증거목록!$A$6:$A$393,0))&lt;&gt;E9,"증거 실행ID 불일치",IF(INDEX(증거목록!$D$6:$D$393,MATCH(G9,증거목록!$A$6:$A$393,0))="","경로 없음","등록됨")))))</f>
        <v>등록됨</v>
      </c>
      <c r="I9" s="6" t="s">
        <v>23</v>
      </c>
      <c r="J9" s="8"/>
    </row>
    <row r="10" spans="1:10" ht="27.95" customHeight="1">
      <c r="A10" s="7" t="s">
        <v>26</v>
      </c>
      <c r="B10" s="7" t="s">
        <v>21</v>
      </c>
      <c r="C10" s="7" t="s">
        <v>27</v>
      </c>
      <c r="D10" s="7" t="s">
        <v>15</v>
      </c>
      <c r="E10" s="8" t="s">
        <v>462</v>
      </c>
      <c r="F10" s="7" t="str">
        <f>IF(E10="","미실시",IF(COUNTIFS(실행기록!$A$6:$A$30,E10)&lt;&gt;1,"실행ID 확인",IF(INDEX(실행기록!$B$6:$B$30,MATCH(E10,실행기록!$A$6:$A$30,0))&lt;&gt;A10,"시험ID 불일치",IF(INDEX(실행기록!$J$6:$J$30,MATCH(E10,실행기록!$A$6:$A$30,0))="","판정 없음",IF(AND(INDEX(실행기록!$J$6:$J$30,MATCH(E10,실행기록!$A$6:$A$30,0))="합격",OR(INDEX(실행기록!$D$6:$D$30,MATCH(E10,실행기록!$A$6:$A$30,0))="",INDEX(실행기록!$E$6:$E$30,MATCH(E10,실행기록!$A$6:$A$30,0))="",INDEX(실행기록!$F$6:$F$30,MATCH(E10,실행기록!$A$6:$A$30,0))="",INDEX(실행기록!$G$6:$G$30,MATCH(E10,실행기록!$A$6:$A$30,0))="")),"기록 미완료",INDEX(실행기록!$J$6:$J$30,MATCH(E10,실행기록!$A$6:$A$30,0)))))))</f>
        <v>합격</v>
      </c>
      <c r="G10" s="7" t="str">
        <f>IF(E10="","",IF(COUNTIFS(실행기록!$A$6:$A$30,E10)&lt;&gt;1,"",IF(INDEX(실행기록!$B$6:$B$30,MATCH(E10,실행기록!$A$6:$A$30,0))&lt;&gt;A10,"",IF(INDEX(실행기록!$I$6:$I$30,MATCH(E10,실행기록!$A$6:$A$30,0))="","",INDEX(실행기록!$I$6:$I$30,MATCH(E10,실행기록!$A$6:$A$30,0))))))</f>
        <v>P04_01_cycle.mp4</v>
      </c>
      <c r="H10" s="13" t="str">
        <f>IF(E10="","미연결",IF(G10="","증거 없음",IF(COUNTIFS(증거목록!$A$6:$A$393,G10)&lt;&gt;1,"미등록/중복",IF(INDEX(증거목록!$B$6:$B$393,MATCH(G10,증거목록!$A$6:$A$393,0))&lt;&gt;E10,"증거 실행ID 불일치",IF(INDEX(증거목록!$D$6:$D$393,MATCH(G10,증거목록!$A$6:$A$393,0))="","경로 없음","등록됨")))))</f>
        <v>등록됨</v>
      </c>
      <c r="I10" s="7" t="s">
        <v>23</v>
      </c>
      <c r="J10" s="8"/>
    </row>
    <row r="11" spans="1:10" ht="27.95" customHeight="1">
      <c r="A11" s="6" t="s">
        <v>28</v>
      </c>
      <c r="B11" s="6" t="s">
        <v>21</v>
      </c>
      <c r="C11" s="6" t="s">
        <v>29</v>
      </c>
      <c r="D11" s="6" t="s">
        <v>15</v>
      </c>
      <c r="E11" s="8" t="s">
        <v>488</v>
      </c>
      <c r="F11" s="6" t="str">
        <f>IF(E11="","미실시",IF(COUNTIFS(실행기록!$A$6:$A$30,E11)&lt;&gt;1,"실행ID 확인",IF(INDEX(실행기록!$B$6:$B$30,MATCH(E11,실행기록!$A$6:$A$30,0))&lt;&gt;A11,"시험ID 불일치",IF(INDEX(실행기록!$J$6:$J$30,MATCH(E11,실행기록!$A$6:$A$30,0))="","판정 없음",IF(AND(INDEX(실행기록!$J$6:$J$30,MATCH(E11,실행기록!$A$6:$A$30,0))="합격",OR(INDEX(실행기록!$D$6:$D$30,MATCH(E11,실행기록!$A$6:$A$30,0))="",INDEX(실행기록!$E$6:$E$30,MATCH(E11,실행기록!$A$6:$A$30,0))="",INDEX(실행기록!$F$6:$F$30,MATCH(E11,실행기록!$A$6:$A$30,0))="",INDEX(실행기록!$G$6:$G$30,MATCH(E11,실행기록!$A$6:$A$30,0))="")),"기록 미완료",INDEX(실행기록!$J$6:$J$30,MATCH(E11,실행기록!$A$6:$A$30,0)))))))</f>
        <v>합격</v>
      </c>
      <c r="G11" s="6" t="str">
        <f>IF(E11="","",IF(COUNTIFS(실행기록!$A$6:$A$30,E11)&lt;&gt;1,"",IF(INDEX(실행기록!$B$6:$B$30,MATCH(E11,실행기록!$A$6:$A$30,0))&lt;&gt;A11,"",IF(INDEX(실행기록!$I$6:$I$30,MATCH(E11,실행기록!$A$6:$A$30,0))="","",INDEX(실행기록!$I$6:$I$30,MATCH(E11,실행기록!$A$6:$A$30,0))))))</f>
        <v>AE02_03_ate.csv</v>
      </c>
      <c r="H11" s="14" t="str">
        <f>IF(E11="","미연결",IF(G11="","증거 없음",IF(COUNTIFS(증거목록!$A$6:$A$393,G11)&lt;&gt;1,"미등록/중복",IF(INDEX(증거목록!$B$6:$B$393,MATCH(G11,증거목록!$A$6:$A$393,0))&lt;&gt;E11,"증거 실행ID 불일치",IF(INDEX(증거목록!$D$6:$D$393,MATCH(G11,증거목록!$A$6:$A$393,0))="","경로 없음","등록됨")))))</f>
        <v>등록됨</v>
      </c>
      <c r="I11" s="6" t="s">
        <v>30</v>
      </c>
      <c r="J11" s="8"/>
    </row>
    <row r="12" spans="1:10" ht="27.95" customHeight="1">
      <c r="A12" s="7" t="s">
        <v>31</v>
      </c>
      <c r="B12" s="7" t="s">
        <v>21</v>
      </c>
      <c r="C12" s="7" t="s">
        <v>32</v>
      </c>
      <c r="D12" s="7" t="s">
        <v>15</v>
      </c>
      <c r="E12" s="8" t="s">
        <v>523</v>
      </c>
      <c r="F12" s="7" t="str">
        <f>IF(E12="","미실시",IF(COUNTIFS(실행기록!$A$6:$A$30,E12)&lt;&gt;1,"실행ID 확인",IF(INDEX(실행기록!$B$6:$B$30,MATCH(E12,실행기록!$A$6:$A$30,0))&lt;&gt;A12,"시험ID 불일치",IF(INDEX(실행기록!$J$6:$J$30,MATCH(E12,실행기록!$A$6:$A$30,0))="","판정 없음",IF(AND(INDEX(실행기록!$J$6:$J$30,MATCH(E12,실행기록!$A$6:$A$30,0))="합격",OR(INDEX(실행기록!$D$6:$D$30,MATCH(E12,실행기록!$A$6:$A$30,0))="",INDEX(실행기록!$E$6:$E$30,MATCH(E12,실행기록!$A$6:$A$30,0))="",INDEX(실행기록!$F$6:$F$30,MATCH(E12,실행기록!$A$6:$A$30,0))="",INDEX(실행기록!$G$6:$G$30,MATCH(E12,실행기록!$A$6:$A$30,0))="")),"기록 미완료",INDEX(실행기록!$J$6:$J$30,MATCH(E12,실행기록!$A$6:$A$30,0)))))))</f>
        <v>합격</v>
      </c>
      <c r="G12" s="7" t="str">
        <f>IF(E12="","",IF(COUNTIFS(실행기록!$A$6:$A$30,E12)&lt;&gt;1,"",IF(INDEX(실행기록!$B$6:$B$30,MATCH(E12,실행기록!$A$6:$A$30,0))&lt;&gt;A12,"",IF(INDEX(실행기록!$I$6:$I$30,MATCH(E12,실행기록!$A$6:$A$30,0))="","",INDEX(실행기록!$I$6:$I$30,MATCH(E12,실행기록!$A$6:$A$30,0))))))</f>
        <v>AE05_01_ate.csv</v>
      </c>
      <c r="H12" s="13" t="str">
        <f>IF(E12="","미연결",IF(G12="","증거 없음",IF(COUNTIFS(증거목록!$A$6:$A$393,G12)&lt;&gt;1,"미등록/중복",IF(INDEX(증거목록!$B$6:$B$393,MATCH(G12,증거목록!$A$6:$A$393,0))&lt;&gt;E12,"증거 실행ID 불일치",IF(INDEX(증거목록!$D$6:$D$393,MATCH(G12,증거목록!$A$6:$A$393,0))="","경로 없음","등록됨")))))</f>
        <v>등록됨</v>
      </c>
      <c r="I12" s="7" t="s">
        <v>33</v>
      </c>
      <c r="J12" s="8"/>
    </row>
    <row r="13" spans="1:10" ht="27.95" customHeight="1">
      <c r="A13" s="6" t="s">
        <v>34</v>
      </c>
      <c r="B13" s="6" t="s">
        <v>35</v>
      </c>
      <c r="C13" s="6" t="s">
        <v>36</v>
      </c>
      <c r="D13" s="6" t="s">
        <v>15</v>
      </c>
      <c r="E13" s="8" t="s">
        <v>552</v>
      </c>
      <c r="F13" s="6" t="str">
        <f>IF(E13="","미실시",IF(COUNTIFS(실행기록!$A$6:$A$30,E13)&lt;&gt;1,"실행ID 확인",IF(INDEX(실행기록!$B$6:$B$30,MATCH(E13,실행기록!$A$6:$A$30,0))&lt;&gt;A13,"시험ID 불일치",IF(INDEX(실행기록!$J$6:$J$30,MATCH(E13,실행기록!$A$6:$A$30,0))="","판정 없음",IF(AND(INDEX(실행기록!$J$6:$J$30,MATCH(E13,실행기록!$A$6:$A$30,0))="합격",OR(INDEX(실행기록!$D$6:$D$30,MATCH(E13,실행기록!$A$6:$A$30,0))="",INDEX(실행기록!$E$6:$E$30,MATCH(E13,실행기록!$A$6:$A$30,0))="",INDEX(실행기록!$F$6:$F$30,MATCH(E13,실행기록!$A$6:$A$30,0))="",INDEX(실행기록!$G$6:$G$30,MATCH(E13,실행기록!$A$6:$A$30,0))="")),"기록 미완료",INDEX(실행기록!$J$6:$J$30,MATCH(E13,실행기록!$A$6:$A$30,0)))))))</f>
        <v>합격</v>
      </c>
      <c r="G13" s="6" t="str">
        <f>IF(E13="","",IF(COUNTIFS(실행기록!$A$6:$A$30,E13)&lt;&gt;1,"",IF(INDEX(실행기록!$B$6:$B$30,MATCH(E13,실행기록!$A$6:$A$30,0))&lt;&gt;A13,"",IF(INDEX(실행기록!$I$6:$I$30,MATCH(E13,실행기록!$A$6:$A$30,0))="","",INDEX(실행기록!$I$6:$I$30,MATCH(E13,실행기록!$A$6:$A$30,0))))))</f>
        <v>P05_06_mode_count_reset.mp4</v>
      </c>
      <c r="H13" s="14" t="str">
        <f>IF(E13="","미연결",IF(G13="","증거 없음",IF(COUNTIFS(증거목록!$A$6:$A$393,G13)&lt;&gt;1,"미등록/중복",IF(INDEX(증거목록!$B$6:$B$393,MATCH(G13,증거목록!$A$6:$A$393,0))&lt;&gt;E13,"증거 실행ID 불일치",IF(INDEX(증거목록!$D$6:$D$393,MATCH(G13,증거목록!$A$6:$A$393,0))="","경로 없음","등록됨")))))</f>
        <v>등록됨</v>
      </c>
      <c r="I13" s="6" t="s">
        <v>37</v>
      </c>
      <c r="J13" s="8"/>
    </row>
    <row r="14" spans="1:10" ht="27.95" customHeight="1">
      <c r="A14" s="7" t="s">
        <v>38</v>
      </c>
      <c r="B14" s="7" t="s">
        <v>35</v>
      </c>
      <c r="C14" s="7" t="s">
        <v>39</v>
      </c>
      <c r="D14" s="7" t="s">
        <v>15</v>
      </c>
      <c r="E14" s="8" t="s">
        <v>597</v>
      </c>
      <c r="F14" s="7" t="str">
        <f>IF(E14="","미실시",IF(COUNTIFS(실행기록!$A$6:$A$30,E14)&lt;&gt;1,"실행ID 확인",IF(INDEX(실행기록!$B$6:$B$30,MATCH(E14,실행기록!$A$6:$A$30,0))&lt;&gt;A14,"시험ID 불일치",IF(INDEX(실행기록!$J$6:$J$30,MATCH(E14,실행기록!$A$6:$A$30,0))="","판정 없음",IF(AND(INDEX(실행기록!$J$6:$J$30,MATCH(E14,실행기록!$A$6:$A$30,0))="합격",OR(INDEX(실행기록!$D$6:$D$30,MATCH(E14,실행기록!$A$6:$A$30,0))="",INDEX(실행기록!$E$6:$E$30,MATCH(E14,실행기록!$A$6:$A$30,0))="",INDEX(실행기록!$F$6:$F$30,MATCH(E14,실행기록!$A$6:$A$30,0))="",INDEX(실행기록!$G$6:$G$30,MATCH(E14,실행기록!$A$6:$A$30,0))="")),"기록 미완료",INDEX(실행기록!$J$6:$J$30,MATCH(E14,실행기록!$A$6:$A$30,0)))))))</f>
        <v>합격</v>
      </c>
      <c r="G14" s="7" t="str">
        <f>IF(E14="","",IF(COUNTIFS(실행기록!$A$6:$A$30,E14)&lt;&gt;1,"",IF(INDEX(실행기록!$B$6:$B$30,MATCH(E14,실행기록!$A$6:$A$30,0))&lt;&gt;A14,"",IF(INDEX(실행기록!$I$6:$I$30,MATCH(E14,실행기록!$A$6:$A$30,0))="","",INDEX(실행기록!$I$6:$I$30,MATCH(E14,실행기록!$A$6:$A$30,0))))))</f>
        <v>P06_01_continuous.mp4</v>
      </c>
      <c r="H14" s="13" t="str">
        <f>IF(E14="","미연결",IF(G14="","증거 없음",IF(COUNTIFS(증거목록!$A$6:$A$393,G14)&lt;&gt;1,"미등록/중복",IF(INDEX(증거목록!$B$6:$B$393,MATCH(G14,증거목록!$A$6:$A$393,0))&lt;&gt;E14,"증거 실행ID 불일치",IF(INDEX(증거목록!$D$6:$D$393,MATCH(G14,증거목록!$A$6:$A$393,0))="","경로 없음","등록됨")))))</f>
        <v>등록됨</v>
      </c>
      <c r="I14" s="7" t="s">
        <v>40</v>
      </c>
      <c r="J14" s="8"/>
    </row>
    <row r="15" spans="1:10" ht="27.95" customHeight="1">
      <c r="A15" s="6" t="s">
        <v>41</v>
      </c>
      <c r="B15" s="6" t="s">
        <v>35</v>
      </c>
      <c r="C15" s="6" t="s">
        <v>42</v>
      </c>
      <c r="D15" s="6" t="s">
        <v>15</v>
      </c>
      <c r="E15" s="8" t="s">
        <v>624</v>
      </c>
      <c r="F15" s="6" t="str">
        <f>IF(E15="","미실시",IF(COUNTIFS(실행기록!$A$6:$A$30,E15)&lt;&gt;1,"실행ID 확인",IF(INDEX(실행기록!$B$6:$B$30,MATCH(E15,실행기록!$A$6:$A$30,0))&lt;&gt;A15,"시험ID 불일치",IF(INDEX(실행기록!$J$6:$J$30,MATCH(E15,실행기록!$A$6:$A$30,0))="","판정 없음",IF(AND(INDEX(실행기록!$J$6:$J$30,MATCH(E15,실행기록!$A$6:$A$30,0))="합격",OR(INDEX(실행기록!$D$6:$D$30,MATCH(E15,실행기록!$A$6:$A$30,0))="",INDEX(실행기록!$E$6:$E$30,MATCH(E15,실행기록!$A$6:$A$30,0))="",INDEX(실행기록!$F$6:$F$30,MATCH(E15,실행기록!$A$6:$A$30,0))="",INDEX(실행기록!$G$6:$G$30,MATCH(E15,실행기록!$A$6:$A$30,0))="")),"기록 미완료",INDEX(실행기록!$J$6:$J$30,MATCH(E15,실행기록!$A$6:$A$30,0)))))))</f>
        <v>합격</v>
      </c>
      <c r="G15" s="6" t="str">
        <f>IF(E15="","",IF(COUNTIFS(실행기록!$A$6:$A$30,E15)&lt;&gt;1,"",IF(INDEX(실행기록!$B$6:$B$30,MATCH(E15,실행기록!$A$6:$A$30,0))&lt;&gt;A15,"",IF(INDEX(실행기록!$I$6:$I$30,MATCH(E15,실행기록!$A$6:$A$30,0))="","",INDEX(실행기록!$I$6:$I$30,MATCH(E15,실행기록!$A$6:$A$30,0))))))</f>
        <v>P07_00_stop_recovery.mp4</v>
      </c>
      <c r="H15" s="14" t="str">
        <f>IF(E15="","미연결",IF(G15="","증거 없음",IF(COUNTIFS(증거목록!$A$6:$A$393,G15)&lt;&gt;1,"미등록/중복",IF(INDEX(증거목록!$B$6:$B$393,MATCH(G15,증거목록!$A$6:$A$393,0))&lt;&gt;E15,"증거 실행ID 불일치",IF(INDEX(증거목록!$D$6:$D$393,MATCH(G15,증거목록!$A$6:$A$393,0))="","경로 없음","등록됨")))))</f>
        <v>등록됨</v>
      </c>
      <c r="I15" s="6" t="s">
        <v>43</v>
      </c>
      <c r="J15" s="8"/>
    </row>
    <row r="16" spans="1:10" ht="27.95" customHeight="1">
      <c r="A16" s="7" t="s">
        <v>44</v>
      </c>
      <c r="B16" s="7" t="s">
        <v>35</v>
      </c>
      <c r="C16" s="7" t="s">
        <v>45</v>
      </c>
      <c r="D16" s="7" t="s">
        <v>15</v>
      </c>
      <c r="E16" s="8" t="s">
        <v>682</v>
      </c>
      <c r="F16" s="7" t="str">
        <f>IF(E16="","미실시",IF(COUNTIFS(실행기록!$A$6:$A$30,E16)&lt;&gt;1,"실행ID 확인",IF(INDEX(실행기록!$B$6:$B$30,MATCH(E16,실행기록!$A$6:$A$30,0))&lt;&gt;A16,"시험ID 불일치",IF(INDEX(실행기록!$J$6:$J$30,MATCH(E16,실행기록!$A$6:$A$30,0))="","판정 없음",IF(AND(INDEX(실행기록!$J$6:$J$30,MATCH(E16,실행기록!$A$6:$A$30,0))="합격",OR(INDEX(실행기록!$D$6:$D$30,MATCH(E16,실행기록!$A$6:$A$30,0))="",INDEX(실행기록!$E$6:$E$30,MATCH(E16,실행기록!$A$6:$A$30,0))="",INDEX(실행기록!$F$6:$F$30,MATCH(E16,실행기록!$A$6:$A$30,0))="",INDEX(실행기록!$G$6:$G$30,MATCH(E16,실행기록!$A$6:$A$30,0))="")),"기록 미완료",INDEX(실행기록!$J$6:$J$30,MATCH(E16,실행기록!$A$6:$A$30,0)))))))</f>
        <v>합격</v>
      </c>
      <c r="G16" s="7" t="str">
        <f>IF(E16="","",IF(COUNTIFS(실행기록!$A$6:$A$30,E16)&lt;&gt;1,"",IF(INDEX(실행기록!$B$6:$B$30,MATCH(E16,실행기록!$A$6:$A$30,0))&lt;&gt;A16,"",IF(INDEX(실행기록!$I$6:$I$30,MATCH(E16,실행기록!$A$6:$A$30,0))="","",INDEX(실행기록!$I$6:$I$30,MATCH(E16,실행기록!$A$6:$A$30,0))))))</f>
        <v>P08_A_held_reset.mp4</v>
      </c>
      <c r="H16" s="13" t="str">
        <f>IF(E16="","미연결",IF(G16="","증거 없음",IF(COUNTIFS(증거목록!$A$6:$A$393,G16)&lt;&gt;1,"미등록/중복",IF(INDEX(증거목록!$B$6:$B$393,MATCH(G16,증거목록!$A$6:$A$393,0))&lt;&gt;E16,"증거 실행ID 불일치",IF(INDEX(증거목록!$D$6:$D$393,MATCH(G16,증거목록!$A$6:$A$393,0))="","경로 없음","등록됨")))))</f>
        <v>등록됨</v>
      </c>
      <c r="I16" s="7" t="s">
        <v>46</v>
      </c>
      <c r="J16" s="8"/>
    </row>
    <row r="17" spans="1:10" ht="27.95" customHeight="1">
      <c r="A17" s="6" t="s">
        <v>47</v>
      </c>
      <c r="B17" s="6" t="s">
        <v>35</v>
      </c>
      <c r="C17" s="6" t="s">
        <v>48</v>
      </c>
      <c r="D17" s="6" t="s">
        <v>15</v>
      </c>
      <c r="E17" s="8" t="s">
        <v>759</v>
      </c>
      <c r="F17" s="6" t="str">
        <f>IF(E17="","미실시",IF(COUNTIFS(실행기록!$A$6:$A$30,E17)&lt;&gt;1,"실행ID 확인",IF(INDEX(실행기록!$B$6:$B$30,MATCH(E17,실행기록!$A$6:$A$30,0))&lt;&gt;A17,"시험ID 불일치",IF(INDEX(실행기록!$J$6:$J$30,MATCH(E17,실행기록!$A$6:$A$30,0))="","판정 없음",IF(AND(INDEX(실행기록!$J$6:$J$30,MATCH(E17,실행기록!$A$6:$A$30,0))="합격",OR(INDEX(실행기록!$D$6:$D$30,MATCH(E17,실행기록!$A$6:$A$30,0))="",INDEX(실행기록!$E$6:$E$30,MATCH(E17,실행기록!$A$6:$A$30,0))="",INDEX(실행기록!$F$6:$F$30,MATCH(E17,실행기록!$A$6:$A$30,0))="",INDEX(실행기록!$G$6:$G$30,MATCH(E17,실행기록!$A$6:$A$30,0))="")),"기록 미완료",INDEX(실행기록!$J$6:$J$30,MATCH(E17,실행기록!$A$6:$A$30,0)))))))</f>
        <v>합격</v>
      </c>
      <c r="G17" s="6" t="str">
        <f>IF(E17="","",IF(COUNTIFS(실행기록!$A$6:$A$30,E17)&lt;&gt;1,"",IF(INDEX(실행기록!$B$6:$B$30,MATCH(E17,실행기록!$A$6:$A$30,0))&lt;&gt;A17,"",IF(INDEX(실행기록!$I$6:$I$30,MATCH(E17,실행기록!$A$6:$A$30,0))="","",INDEX(실행기록!$I$6:$I$30,MATCH(E17,실행기록!$A$6:$A$30,0))))))</f>
        <v>P09_01_env_off.mp4</v>
      </c>
      <c r="H17" s="14" t="str">
        <f>IF(E17="","미연결",IF(G17="","증거 없음",IF(COUNTIFS(증거목록!$A$6:$A$393,G17)&lt;&gt;1,"미등록/중복",IF(INDEX(증거목록!$B$6:$B$393,MATCH(G17,증거목록!$A$6:$A$393,0))&lt;&gt;E17,"증거 실행ID 불일치",IF(INDEX(증거목록!$D$6:$D$393,MATCH(G17,증거목록!$A$6:$A$393,0))="","경로 없음","등록됨")))))</f>
        <v>등록됨</v>
      </c>
      <c r="I17" s="6" t="s">
        <v>49</v>
      </c>
      <c r="J17" s="8"/>
    </row>
    <row r="18" spans="1:10" ht="27.95" customHeight="1">
      <c r="A18" s="7" t="s">
        <v>50</v>
      </c>
      <c r="B18" s="7" t="s">
        <v>51</v>
      </c>
      <c r="C18" s="7" t="s">
        <v>52</v>
      </c>
      <c r="D18" s="7" t="s">
        <v>15</v>
      </c>
      <c r="E18" s="8" t="s">
        <v>792</v>
      </c>
      <c r="F18" s="7" t="str">
        <f>IF(E18="","미실시",IF(COUNTIFS(실행기록!$A$6:$A$30,E18)&lt;&gt;1,"실행ID 확인",IF(INDEX(실행기록!$B$6:$B$30,MATCH(E18,실행기록!$A$6:$A$30,0))&lt;&gt;A18,"시험ID 불일치",IF(INDEX(실행기록!$J$6:$J$30,MATCH(E18,실행기록!$A$6:$A$30,0))="","판정 없음",IF(AND(INDEX(실행기록!$J$6:$J$30,MATCH(E18,실행기록!$A$6:$A$30,0))="합격",OR(INDEX(실행기록!$D$6:$D$30,MATCH(E18,실행기록!$A$6:$A$30,0))="",INDEX(실행기록!$E$6:$E$30,MATCH(E18,실행기록!$A$6:$A$30,0))="",INDEX(실행기록!$F$6:$F$30,MATCH(E18,실행기록!$A$6:$A$30,0))="",INDEX(실행기록!$G$6:$G$30,MATCH(E18,실행기록!$A$6:$A$30,0))="")),"기록 미완료",INDEX(실행기록!$J$6:$J$30,MATCH(E18,실행기록!$A$6:$A$30,0)))))))</f>
        <v>합격</v>
      </c>
      <c r="G18" s="7" t="str">
        <f>IF(E18="","",IF(COUNTIFS(실행기록!$A$6:$A$30,E18)&lt;&gt;1,"",IF(INDEX(실행기록!$B$6:$B$30,MATCH(E18,실행기록!$A$6:$A$30,0))&lt;&gt;A18,"",IF(INDEX(실행기록!$I$6:$I$30,MATCH(E18,실행기록!$A$6:$A$30,0))="","",INDEX(실행기록!$I$6:$I$30,MATCH(E18,실행기록!$A$6:$A$30,0))))))</f>
        <v>P10_01_timeout101.mp4</v>
      </c>
      <c r="H18" s="13" t="str">
        <f>IF(E18="","미연결",IF(G18="","증거 없음",IF(COUNTIFS(증거목록!$A$6:$A$393,G18)&lt;&gt;1,"미등록/중복",IF(INDEX(증거목록!$B$6:$B$393,MATCH(G18,증거목록!$A$6:$A$393,0))&lt;&gt;E18,"증거 실행ID 불일치",IF(INDEX(증거목록!$D$6:$D$393,MATCH(G18,증거목록!$A$6:$A$393,0))="","경로 없음","등록됨")))))</f>
        <v>등록됨</v>
      </c>
      <c r="I18" s="7" t="s">
        <v>53</v>
      </c>
      <c r="J18" s="8"/>
    </row>
    <row r="19" spans="1:10" ht="27.95" customHeight="1">
      <c r="A19" s="6" t="s">
        <v>54</v>
      </c>
      <c r="B19" s="6" t="s">
        <v>51</v>
      </c>
      <c r="C19" s="6" t="s">
        <v>55</v>
      </c>
      <c r="D19" s="6" t="s">
        <v>15</v>
      </c>
      <c r="E19" s="8" t="s">
        <v>831</v>
      </c>
      <c r="F19" s="6" t="str">
        <f>IF(E19="","미실시",IF(COUNTIFS(실행기록!$A$6:$A$30,E19)&lt;&gt;1,"실행ID 확인",IF(INDEX(실행기록!$B$6:$B$30,MATCH(E19,실행기록!$A$6:$A$30,0))&lt;&gt;A19,"시험ID 불일치",IF(INDEX(실행기록!$J$6:$J$30,MATCH(E19,실행기록!$A$6:$A$30,0))="","판정 없음",IF(AND(INDEX(실행기록!$J$6:$J$30,MATCH(E19,실행기록!$A$6:$A$30,0))="합격",OR(INDEX(실행기록!$D$6:$D$30,MATCH(E19,실행기록!$A$6:$A$30,0))="",INDEX(실행기록!$E$6:$E$30,MATCH(E19,실행기록!$A$6:$A$30,0))="",INDEX(실행기록!$F$6:$F$30,MATCH(E19,실행기록!$A$6:$A$30,0))="",INDEX(실행기록!$G$6:$G$30,MATCH(E19,실행기록!$A$6:$A$30,0))="")),"기록 미완료",INDEX(실행기록!$J$6:$J$30,MATCH(E19,실행기록!$A$6:$A$30,0)))))))</f>
        <v>합격</v>
      </c>
      <c r="G19" s="6" t="str">
        <f>IF(E19="","",IF(COUNTIFS(실행기록!$A$6:$A$30,E19)&lt;&gt;1,"",IF(INDEX(실행기록!$B$6:$B$30,MATCH(E19,실행기록!$A$6:$A$30,0))&lt;&gt;A19,"",IF(INDEX(실행기록!$I$6:$I$30,MATCH(E19,실행기록!$A$6:$A$30,0))="","",INDEX(실행기록!$I$6:$I$30,MATCH(E19,실행기록!$A$6:$A$30,0))))))</f>
        <v>P11_01_timeout102.mp4</v>
      </c>
      <c r="H19" s="14" t="str">
        <f>IF(E19="","미연결",IF(G19="","증거 없음",IF(COUNTIFS(증거목록!$A$6:$A$393,G19)&lt;&gt;1,"미등록/중복",IF(INDEX(증거목록!$B$6:$B$393,MATCH(G19,증거목록!$A$6:$A$393,0))&lt;&gt;E19,"증거 실행ID 불일치",IF(INDEX(증거목록!$D$6:$D$393,MATCH(G19,증거목록!$A$6:$A$393,0))="","경로 없음","등록됨")))))</f>
        <v>등록됨</v>
      </c>
      <c r="I19" s="6" t="s">
        <v>53</v>
      </c>
      <c r="J19" s="8"/>
    </row>
    <row r="20" spans="1:10" ht="27.95" customHeight="1">
      <c r="A20" s="7" t="s">
        <v>56</v>
      </c>
      <c r="B20" s="7" t="s">
        <v>51</v>
      </c>
      <c r="C20" s="7" t="s">
        <v>57</v>
      </c>
      <c r="D20" s="7" t="s">
        <v>15</v>
      </c>
      <c r="E20" s="8" t="s">
        <v>888</v>
      </c>
      <c r="F20" s="7" t="str">
        <f>IF(E20="","미실시",IF(COUNTIFS(실행기록!$A$6:$A$30,E20)&lt;&gt;1,"실행ID 확인",IF(INDEX(실행기록!$B$6:$B$30,MATCH(E20,실행기록!$A$6:$A$30,0))&lt;&gt;A20,"시험ID 불일치",IF(INDEX(실행기록!$J$6:$J$30,MATCH(E20,실행기록!$A$6:$A$30,0))="","판정 없음",IF(AND(INDEX(실행기록!$J$6:$J$30,MATCH(E20,실행기록!$A$6:$A$30,0))="합격",OR(INDEX(실행기록!$D$6:$D$30,MATCH(E20,실행기록!$A$6:$A$30,0))="",INDEX(실행기록!$E$6:$E$30,MATCH(E20,실행기록!$A$6:$A$30,0))="",INDEX(실행기록!$F$6:$F$30,MATCH(E20,실행기록!$A$6:$A$30,0))="",INDEX(실행기록!$G$6:$G$30,MATCH(E20,실행기록!$A$6:$A$30,0))="")),"기록 미완료",INDEX(실행기록!$J$6:$J$30,MATCH(E20,실행기록!$A$6:$A$30,0)))))))</f>
        <v>합격</v>
      </c>
      <c r="G20" s="7" t="str">
        <f>IF(E20="","",IF(COUNTIFS(실행기록!$A$6:$A$30,E20)&lt;&gt;1,"",IF(INDEX(실행기록!$B$6:$B$30,MATCH(E20,실행기록!$A$6:$A$30,0))&lt;&gt;A20,"",IF(INDEX(실행기록!$I$6:$I$30,MATCH(E20,실행기록!$A$6:$A$30,0))="","",INDEX(실행기록!$I$6:$I$30,MATCH(E20,실행기록!$A$6:$A$30,0))))))</f>
        <v>P12_01_timeout105.mp4</v>
      </c>
      <c r="H20" s="13" t="str">
        <f>IF(E20="","미연결",IF(G20="","증거 없음",IF(COUNTIFS(증거목록!$A$6:$A$393,G20)&lt;&gt;1,"미등록/중복",IF(INDEX(증거목록!$B$6:$B$393,MATCH(G20,증거목록!$A$6:$A$393,0))&lt;&gt;E20,"증거 실행ID 불일치",IF(INDEX(증거목록!$D$6:$D$393,MATCH(G20,증거목록!$A$6:$A$393,0))="","경로 없음","등록됨")))))</f>
        <v>등록됨</v>
      </c>
      <c r="I20" s="7" t="s">
        <v>53</v>
      </c>
      <c r="J20" s="8"/>
    </row>
    <row r="21" spans="1:10" ht="27.95" customHeight="1">
      <c r="A21" s="6" t="s">
        <v>58</v>
      </c>
      <c r="B21" s="6" t="s">
        <v>51</v>
      </c>
      <c r="C21" s="6" t="s">
        <v>59</v>
      </c>
      <c r="D21" s="6" t="s">
        <v>15</v>
      </c>
      <c r="E21" s="8" t="s">
        <v>956</v>
      </c>
      <c r="F21" s="6" t="str">
        <f>IF(E21="","미실시",IF(COUNTIFS(실행기록!$A$6:$A$30,E21)&lt;&gt;1,"실행ID 확인",IF(INDEX(실행기록!$B$6:$B$30,MATCH(E21,실행기록!$A$6:$A$30,0))&lt;&gt;A21,"시험ID 불일치",IF(INDEX(실행기록!$J$6:$J$30,MATCH(E21,실행기록!$A$6:$A$30,0))="","판정 없음",IF(AND(INDEX(실행기록!$J$6:$J$30,MATCH(E21,실행기록!$A$6:$A$30,0))="합격",OR(INDEX(실행기록!$D$6:$D$30,MATCH(E21,실행기록!$A$6:$A$30,0))="",INDEX(실행기록!$E$6:$E$30,MATCH(E21,실행기록!$A$6:$A$30,0))="",INDEX(실행기록!$F$6:$F$30,MATCH(E21,실행기록!$A$6:$A$30,0))="",INDEX(실행기록!$G$6:$G$30,MATCH(E21,실행기록!$A$6:$A$30,0))="")),"기록 미완료",INDEX(실행기록!$J$6:$J$30,MATCH(E21,실행기록!$A$6:$A$30,0)))))))</f>
        <v>합격</v>
      </c>
      <c r="G21" s="6" t="str">
        <f>IF(E21="","",IF(COUNTIFS(실행기록!$A$6:$A$30,E21)&lt;&gt;1,"",IF(INDEX(실행기록!$B$6:$B$30,MATCH(E21,실행기록!$A$6:$A$30,0))&lt;&gt;A21,"",IF(INDEX(실행기록!$I$6:$I$30,MATCH(E21,실행기록!$A$6:$A$30,0))="","",INDEX(실행기록!$I$6:$I$30,MATCH(E21,실행기록!$A$6:$A$30,0))))))</f>
        <v>P13_01_timeout106.mp4</v>
      </c>
      <c r="H21" s="14" t="str">
        <f>IF(E21="","미연결",IF(G21="","증거 없음",IF(COUNTIFS(증거목록!$A$6:$A$393,G21)&lt;&gt;1,"미등록/중복",IF(INDEX(증거목록!$B$6:$B$393,MATCH(G21,증거목록!$A$6:$A$393,0))&lt;&gt;E21,"증거 실행ID 불일치",IF(INDEX(증거목록!$D$6:$D$393,MATCH(G21,증거목록!$A$6:$A$393,0))="","경로 없음","등록됨")))))</f>
        <v>등록됨</v>
      </c>
      <c r="I21" s="6" t="s">
        <v>53</v>
      </c>
      <c r="J21" s="8"/>
    </row>
    <row r="22" spans="1:10" ht="27.95" customHeight="1">
      <c r="A22" s="7" t="s">
        <v>60</v>
      </c>
      <c r="B22" s="7" t="s">
        <v>51</v>
      </c>
      <c r="C22" s="7" t="s">
        <v>61</v>
      </c>
      <c r="D22" s="7" t="s">
        <v>15</v>
      </c>
      <c r="E22" s="8" t="s">
        <v>1018</v>
      </c>
      <c r="F22" s="7" t="str">
        <f>IF(E22="","미실시",IF(COUNTIFS(실행기록!$A$6:$A$30,E22)&lt;&gt;1,"실행ID 확인",IF(INDEX(실행기록!$B$6:$B$30,MATCH(E22,실행기록!$A$6:$A$30,0))&lt;&gt;A22,"시험ID 불일치",IF(INDEX(실행기록!$J$6:$J$30,MATCH(E22,실행기록!$A$6:$A$30,0))="","판정 없음",IF(AND(INDEX(실행기록!$J$6:$J$30,MATCH(E22,실행기록!$A$6:$A$30,0))="합격",OR(INDEX(실행기록!$D$6:$D$30,MATCH(E22,실행기록!$A$6:$A$30,0))="",INDEX(실행기록!$E$6:$E$30,MATCH(E22,실행기록!$A$6:$A$30,0))="",INDEX(실행기록!$F$6:$F$30,MATCH(E22,실행기록!$A$6:$A$30,0))="",INDEX(실행기록!$G$6:$G$30,MATCH(E22,실행기록!$A$6:$A$30,0))="")),"기록 미완료",INDEX(실행기록!$J$6:$J$30,MATCH(E22,실행기록!$A$6:$A$30,0)))))))</f>
        <v>합격</v>
      </c>
      <c r="G22" s="7" t="str">
        <f>IF(E22="","",IF(COUNTIFS(실행기록!$A$6:$A$30,E22)&lt;&gt;1,"",IF(INDEX(실행기록!$B$6:$B$30,MATCH(E22,실행기록!$A$6:$A$30,0))&lt;&gt;A22,"",IF(INDEX(실행기록!$I$6:$I$30,MATCH(E22,실행기록!$A$6:$A$30,0))="","",INDEX(실행기록!$I$6:$I$30,MATCH(E22,실행기록!$A$6:$A$30,0))))))</f>
        <v>P14_01_timeout107.mp4</v>
      </c>
      <c r="H22" s="13" t="str">
        <f>IF(E22="","미연결",IF(G22="","증거 없음",IF(COUNTIFS(증거목록!$A$6:$A$393,G22)&lt;&gt;1,"미등록/중복",IF(INDEX(증거목록!$B$6:$B$393,MATCH(G22,증거목록!$A$6:$A$393,0))&lt;&gt;E22,"증거 실행ID 불일치",IF(INDEX(증거목록!$D$6:$D$393,MATCH(G22,증거목록!$A$6:$A$393,0))="","경로 없음","등록됨")))))</f>
        <v>등록됨</v>
      </c>
      <c r="I22" s="7" t="s">
        <v>53</v>
      </c>
      <c r="J22" s="8"/>
    </row>
    <row r="23" spans="1:10" ht="27.95" customHeight="1">
      <c r="A23" s="6" t="s">
        <v>62</v>
      </c>
      <c r="B23" s="6" t="s">
        <v>51</v>
      </c>
      <c r="C23" s="6" t="s">
        <v>63</v>
      </c>
      <c r="D23" s="6" t="s">
        <v>15</v>
      </c>
      <c r="E23" s="8" t="s">
        <v>1080</v>
      </c>
      <c r="F23" s="6" t="str">
        <f>IF(E23="","미실시",IF(COUNTIFS(실행기록!$A$6:$A$30,E23)&lt;&gt;1,"실행ID 확인",IF(INDEX(실행기록!$B$6:$B$30,MATCH(E23,실행기록!$A$6:$A$30,0))&lt;&gt;A23,"시험ID 불일치",IF(INDEX(실행기록!$J$6:$J$30,MATCH(E23,실행기록!$A$6:$A$30,0))="","판정 없음",IF(AND(INDEX(실행기록!$J$6:$J$30,MATCH(E23,실행기록!$A$6:$A$30,0))="합격",OR(INDEX(실행기록!$D$6:$D$30,MATCH(E23,실행기록!$A$6:$A$30,0))="",INDEX(실행기록!$E$6:$E$30,MATCH(E23,실행기록!$A$6:$A$30,0))="",INDEX(실행기록!$F$6:$F$30,MATCH(E23,실행기록!$A$6:$A$30,0))="",INDEX(실행기록!$G$6:$G$30,MATCH(E23,실행기록!$A$6:$A$30,0))="")),"기록 미완료",INDEX(실행기록!$J$6:$J$30,MATCH(E23,실행기록!$A$6:$A$30,0)))))))</f>
        <v>합격</v>
      </c>
      <c r="G23" s="6" t="str">
        <f>IF(E23="","",IF(COUNTIFS(실행기록!$A$6:$A$30,E23)&lt;&gt;1,"",IF(INDEX(실행기록!$B$6:$B$30,MATCH(E23,실행기록!$A$6:$A$30,0))&lt;&gt;A23,"",IF(INDEX(실행기록!$I$6:$I$30,MATCH(E23,실행기록!$A$6:$A$30,0))="","",INDEX(실행기록!$I$6:$I$30,MATCH(E23,실행기록!$A$6:$A$30,0))))))</f>
        <v>P15_01_timeout109.mp4</v>
      </c>
      <c r="H23" s="14" t="str">
        <f>IF(E23="","미연결",IF(G23="","증거 없음",IF(COUNTIFS(증거목록!$A$6:$A$393,G23)&lt;&gt;1,"미등록/중복",IF(INDEX(증거목록!$B$6:$B$393,MATCH(G23,증거목록!$A$6:$A$393,0))&lt;&gt;E23,"증거 실행ID 불일치",IF(INDEX(증거목록!$D$6:$D$393,MATCH(G23,증거목록!$A$6:$A$393,0))="","경로 없음","등록됨")))))</f>
        <v>등록됨</v>
      </c>
      <c r="I23" s="6" t="s">
        <v>53</v>
      </c>
      <c r="J23" s="8"/>
    </row>
    <row r="24" spans="1:10" ht="27.95" customHeight="1">
      <c r="A24" s="7" t="s">
        <v>64</v>
      </c>
      <c r="B24" s="7" t="s">
        <v>51</v>
      </c>
      <c r="C24" s="7" t="s">
        <v>65</v>
      </c>
      <c r="D24" s="7" t="s">
        <v>15</v>
      </c>
      <c r="E24" s="8" t="s">
        <v>1142</v>
      </c>
      <c r="F24" s="7" t="str">
        <f>IF(E24="","미실시",IF(COUNTIFS(실행기록!$A$6:$A$30,E24)&lt;&gt;1,"실행ID 확인",IF(INDEX(실행기록!$B$6:$B$30,MATCH(E24,실행기록!$A$6:$A$30,0))&lt;&gt;A24,"시험ID 불일치",IF(INDEX(실행기록!$J$6:$J$30,MATCH(E24,실행기록!$A$6:$A$30,0))="","판정 없음",IF(AND(INDEX(실행기록!$J$6:$J$30,MATCH(E24,실행기록!$A$6:$A$30,0))="합격",OR(INDEX(실행기록!$D$6:$D$30,MATCH(E24,실행기록!$A$6:$A$30,0))="",INDEX(실행기록!$E$6:$E$30,MATCH(E24,실행기록!$A$6:$A$30,0))="",INDEX(실행기록!$F$6:$F$30,MATCH(E24,실행기록!$A$6:$A$30,0))="",INDEX(실행기록!$G$6:$G$30,MATCH(E24,실행기록!$A$6:$A$30,0))="")),"기록 미완료",INDEX(실행기록!$J$6:$J$30,MATCH(E24,실행기록!$A$6:$A$30,0)))))))</f>
        <v>합격</v>
      </c>
      <c r="G24" s="7" t="str">
        <f>IF(E24="","",IF(COUNTIFS(실행기록!$A$6:$A$30,E24)&lt;&gt;1,"",IF(INDEX(실행기록!$B$6:$B$30,MATCH(E24,실행기록!$A$6:$A$30,0))&lt;&gt;A24,"",IF(INDEX(실행기록!$I$6:$I$30,MATCH(E24,실행기록!$A$6:$A$30,0))="","",INDEX(실행기록!$I$6:$I$30,MATCH(E24,실행기록!$A$6:$A$30,0))))))</f>
        <v>P17_01_timeout103.mp4</v>
      </c>
      <c r="H24" s="13" t="str">
        <f>IF(E24="","미연결",IF(G24="","증거 없음",IF(COUNTIFS(증거목록!$A$6:$A$393,G24)&lt;&gt;1,"미등록/중복",IF(INDEX(증거목록!$B$6:$B$393,MATCH(G24,증거목록!$A$6:$A$393,0))&lt;&gt;E24,"증거 실행ID 불일치",IF(INDEX(증거목록!$D$6:$D$393,MATCH(G24,증거목록!$A$6:$A$393,0))="","경로 없음","등록됨")))))</f>
        <v>등록됨</v>
      </c>
      <c r="I24" s="7" t="s">
        <v>66</v>
      </c>
      <c r="J24" s="8"/>
    </row>
    <row r="25" spans="1:10" ht="27.95" customHeight="1">
      <c r="A25" s="6" t="s">
        <v>67</v>
      </c>
      <c r="B25" s="6" t="s">
        <v>68</v>
      </c>
      <c r="C25" s="6" t="s">
        <v>69</v>
      </c>
      <c r="D25" s="6" t="s">
        <v>15</v>
      </c>
      <c r="E25" s="8" t="s">
        <v>1210</v>
      </c>
      <c r="F25" s="6" t="str">
        <f>IF(E25="","미실시",IF(COUNTIFS(실행기록!$A$6:$A$30,E25)&lt;&gt;1,"실행ID 확인",IF(INDEX(실행기록!$B$6:$B$30,MATCH(E25,실행기록!$A$6:$A$30,0))&lt;&gt;A25,"시험ID 불일치",IF(INDEX(실행기록!$J$6:$J$30,MATCH(E25,실행기록!$A$6:$A$30,0))="","판정 없음",IF(AND(INDEX(실행기록!$J$6:$J$30,MATCH(E25,실행기록!$A$6:$A$30,0))="합격",OR(INDEX(실행기록!$D$6:$D$30,MATCH(E25,실행기록!$A$6:$A$30,0))="",INDEX(실행기록!$E$6:$E$30,MATCH(E25,실행기록!$A$6:$A$30,0))="",INDEX(실행기록!$F$6:$F$30,MATCH(E25,실행기록!$A$6:$A$30,0))="",INDEX(실행기록!$G$6:$G$30,MATCH(E25,실행기록!$A$6:$A$30,0))="")),"기록 미완료",INDEX(실행기록!$J$6:$J$30,MATCH(E25,실행기록!$A$6:$A$30,0)))))))</f>
        <v>합격</v>
      </c>
      <c r="G25" s="6" t="str">
        <f>IF(E25="","",IF(COUNTIFS(실행기록!$A$6:$A$30,E25)&lt;&gt;1,"",IF(INDEX(실행기록!$B$6:$B$30,MATCH(E25,실행기록!$A$6:$A$30,0))&lt;&gt;A25,"",IF(INDEX(실행기록!$I$6:$I$30,MATCH(E25,실행기록!$A$6:$A$30,0))="","",INDEX(실행기록!$I$6:$I$30,MATCH(E25,실행기록!$A$6:$A$30,0))))))</f>
        <v>P16_01_restart.mp4</v>
      </c>
      <c r="H25" s="14" t="str">
        <f>IF(E25="","미연결",IF(G25="","증거 없음",IF(COUNTIFS(증거목록!$A$6:$A$393,G25)&lt;&gt;1,"미등록/중복",IF(INDEX(증거목록!$B$6:$B$393,MATCH(G25,증거목록!$A$6:$A$393,0))&lt;&gt;E25,"증거 실행ID 불일치",IF(INDEX(증거목록!$D$6:$D$393,MATCH(G25,증거목록!$A$6:$A$393,0))="","경로 없음","등록됨")))))</f>
        <v>등록됨</v>
      </c>
      <c r="I25" s="6" t="s">
        <v>70</v>
      </c>
      <c r="J25" s="8"/>
    </row>
    <row r="26" spans="1:10" ht="27.95" customHeight="1">
      <c r="A26" s="7" t="s">
        <v>71</v>
      </c>
      <c r="B26" s="7" t="s">
        <v>68</v>
      </c>
      <c r="C26" s="7" t="s">
        <v>72</v>
      </c>
      <c r="D26" s="7" t="s">
        <v>15</v>
      </c>
      <c r="E26" s="8" t="s">
        <v>1261</v>
      </c>
      <c r="F26" s="7" t="str">
        <f>IF(E26="","미실시",IF(COUNTIFS(실행기록!$A$6:$A$30,E26)&lt;&gt;1,"실행ID 확인",IF(INDEX(실행기록!$B$6:$B$30,MATCH(E26,실행기록!$A$6:$A$30,0))&lt;&gt;A26,"시험ID 불일치",IF(INDEX(실행기록!$J$6:$J$30,MATCH(E26,실행기록!$A$6:$A$30,0))="","판정 없음",IF(AND(INDEX(실행기록!$J$6:$J$30,MATCH(E26,실행기록!$A$6:$A$30,0))="합격",OR(INDEX(실행기록!$D$6:$D$30,MATCH(E26,실행기록!$A$6:$A$30,0))="",INDEX(실행기록!$E$6:$E$30,MATCH(E26,실행기록!$A$6:$A$30,0))="",INDEX(실행기록!$F$6:$F$30,MATCH(E26,실행기록!$A$6:$A$30,0))="",INDEX(실행기록!$G$6:$G$30,MATCH(E26,실행기록!$A$6:$A$30,0))="")),"기록 미완료",INDEX(실행기록!$J$6:$J$30,MATCH(E26,실행기록!$A$6:$A$30,0)))))))</f>
        <v>합격</v>
      </c>
      <c r="G26" s="7" t="str">
        <f>IF(E26="","",IF(COUNTIFS(실행기록!$A$6:$A$30,E26)&lt;&gt;1,"",IF(INDEX(실행기록!$B$6:$B$30,MATCH(E26,실행기록!$A$6:$A$30,0))&lt;&gt;A26,"",IF(INDEX(실행기록!$I$6:$I$30,MATCH(E26,실행기록!$A$6:$A$30,0))="","",INDEX(실행기록!$I$6:$I$30,MATCH(E26,실행기록!$A$6:$A$30,0))))))</f>
        <v>AE08_01_power_loss_recovery.mp4</v>
      </c>
      <c r="H26" s="13" t="str">
        <f>IF(E26="","미연결",IF(G26="","증거 없음",IF(COUNTIFS(증거목록!$A$6:$A$393,G26)&lt;&gt;1,"미등록/중복",IF(INDEX(증거목록!$B$6:$B$393,MATCH(G26,증거목록!$A$6:$A$393,0))&lt;&gt;E26,"증거 실행ID 불일치",IF(INDEX(증거목록!$D$6:$D$393,MATCH(G26,증거목록!$A$6:$A$393,0))="","경로 없음","등록됨")))))</f>
        <v>등록됨</v>
      </c>
      <c r="I26" s="7" t="s">
        <v>73</v>
      </c>
      <c r="J26" s="8"/>
    </row>
    <row r="27" spans="1:10" ht="27.95" customHeight="1">
      <c r="A27" s="6" t="s">
        <v>74</v>
      </c>
      <c r="B27" s="6" t="s">
        <v>68</v>
      </c>
      <c r="C27" s="6" t="s">
        <v>75</v>
      </c>
      <c r="D27" s="6" t="s">
        <v>15</v>
      </c>
      <c r="E27" s="8" t="s">
        <v>1336</v>
      </c>
      <c r="F27" s="6" t="str">
        <f>IF(E27="","미실시",IF(COUNTIFS(실행기록!$A$6:$A$30,E27)&lt;&gt;1,"실행ID 확인",IF(INDEX(실행기록!$B$6:$B$30,MATCH(E27,실행기록!$A$6:$A$30,0))&lt;&gt;A27,"시험ID 불일치",IF(INDEX(실행기록!$J$6:$J$30,MATCH(E27,실행기록!$A$6:$A$30,0))="","판정 없음",IF(AND(INDEX(실행기록!$J$6:$J$30,MATCH(E27,실행기록!$A$6:$A$30,0))="합격",OR(INDEX(실행기록!$D$6:$D$30,MATCH(E27,실행기록!$A$6:$A$30,0))="",INDEX(실행기록!$E$6:$E$30,MATCH(E27,실행기록!$A$6:$A$30,0))="",INDEX(실행기록!$F$6:$F$30,MATCH(E27,실행기록!$A$6:$A$30,0))="",INDEX(실행기록!$G$6:$G$30,MATCH(E27,실행기록!$A$6:$A$30,0))="")),"기록 미완료",INDEX(실행기록!$J$6:$J$30,MATCH(E27,실행기록!$A$6:$A$30,0)))))))</f>
        <v>합격</v>
      </c>
      <c r="G27" s="6" t="str">
        <f>IF(E27="","",IF(COUNTIFS(실행기록!$A$6:$A$30,E27)&lt;&gt;1,"",IF(INDEX(실행기록!$B$6:$B$30,MATCH(E27,실행기록!$A$6:$A$30,0))&lt;&gt;A27,"",IF(INDEX(실행기록!$I$6:$I$30,MATCH(E27,실행기록!$A$6:$A$30,0))="","",INDEX(실행기록!$I$6:$I$30,MATCH(E27,실행기록!$A$6:$A$30,0))))))</f>
        <v>AE09_01_fx_loss_recovery.mp4</v>
      </c>
      <c r="H27" s="14" t="str">
        <f>IF(E27="","미연결",IF(G27="","증거 없음",IF(COUNTIFS(증거목록!$A$6:$A$393,G27)&lt;&gt;1,"미등록/중복",IF(INDEX(증거목록!$B$6:$B$393,MATCH(G27,증거목록!$A$6:$A$393,0))&lt;&gt;E27,"증거 실행ID 불일치",IF(INDEX(증거목록!$D$6:$D$393,MATCH(G27,증거목록!$A$6:$A$393,0))="","경로 없음","등록됨")))))</f>
        <v>등록됨</v>
      </c>
      <c r="I27" s="6" t="s">
        <v>76</v>
      </c>
      <c r="J27" s="8"/>
    </row>
    <row r="28" spans="1:10" ht="27.95" customHeight="1">
      <c r="A28" s="7" t="s">
        <v>77</v>
      </c>
      <c r="B28" s="7" t="s">
        <v>68</v>
      </c>
      <c r="C28" s="7" t="s">
        <v>78</v>
      </c>
      <c r="D28" s="7" t="s">
        <v>15</v>
      </c>
      <c r="E28" s="8" t="s">
        <v>1405</v>
      </c>
      <c r="F28" s="7" t="str">
        <f>IF(E28="","미실시",IF(COUNTIFS(실행기록!$A$6:$A$30,E28)&lt;&gt;1,"실행ID 확인",IF(INDEX(실행기록!$B$6:$B$30,MATCH(E28,실행기록!$A$6:$A$30,0))&lt;&gt;A28,"시험ID 불일치",IF(INDEX(실행기록!$J$6:$J$30,MATCH(E28,실행기록!$A$6:$A$30,0))="","판정 없음",IF(AND(INDEX(실행기록!$J$6:$J$30,MATCH(E28,실행기록!$A$6:$A$30,0))="합격",OR(INDEX(실행기록!$D$6:$D$30,MATCH(E28,실행기록!$A$6:$A$30,0))="",INDEX(실행기록!$E$6:$E$30,MATCH(E28,실행기록!$A$6:$A$30,0))="",INDEX(실행기록!$F$6:$F$30,MATCH(E28,실행기록!$A$6:$A$30,0))="",INDEX(실행기록!$G$6:$G$30,MATCH(E28,실행기록!$A$6:$A$30,0))="")),"기록 미완료",INDEX(실행기록!$J$6:$J$30,MATCH(E28,실행기록!$A$6:$A$30,0)))))))</f>
        <v>합격</v>
      </c>
      <c r="G28" s="7" t="str">
        <f>IF(E28="","",IF(COUNTIFS(실행기록!$A$6:$A$30,E28)&lt;&gt;1,"",IF(INDEX(실행기록!$B$6:$B$30,MATCH(E28,실행기록!$A$6:$A$30,0))&lt;&gt;A28,"",IF(INDEX(실행기록!$I$6:$I$30,MATCH(E28,실행기록!$A$6:$A$30,0))="","",INDEX(실행기록!$I$6:$I$30,MATCH(E28,실행기록!$A$6:$A$30,0))))))</f>
        <v>AE10_01_ls_loss_recovery.mp4</v>
      </c>
      <c r="H28" s="13" t="str">
        <f>IF(E28="","미연결",IF(G28="","증거 없음",IF(COUNTIFS(증거목록!$A$6:$A$393,G28)&lt;&gt;1,"미등록/중복",IF(INDEX(증거목록!$B$6:$B$393,MATCH(G28,증거목록!$A$6:$A$393,0))&lt;&gt;E28,"증거 실행ID 불일치",IF(INDEX(증거목록!$D$6:$D$393,MATCH(G28,증거목록!$A$6:$A$393,0))="","경로 없음","등록됨")))))</f>
        <v>등록됨</v>
      </c>
      <c r="I28" s="7" t="s">
        <v>79</v>
      </c>
      <c r="J28" s="8"/>
    </row>
    <row r="29" spans="1:10" ht="27.95" customHeight="1">
      <c r="A29" s="6" t="s">
        <v>80</v>
      </c>
      <c r="B29" s="6" t="s">
        <v>81</v>
      </c>
      <c r="C29" s="6" t="s">
        <v>82</v>
      </c>
      <c r="D29" s="6" t="s">
        <v>15</v>
      </c>
      <c r="E29" s="8" t="s">
        <v>1480</v>
      </c>
      <c r="F29" s="6" t="str">
        <f>IF(E29="","미실시",IF(COUNTIFS(실행기록!$A$6:$A$30,E29)&lt;&gt;1,"실행ID 확인",IF(INDEX(실행기록!$B$6:$B$30,MATCH(E29,실행기록!$A$6:$A$30,0))&lt;&gt;A29,"시험ID 불일치",IF(INDEX(실행기록!$J$6:$J$30,MATCH(E29,실행기록!$A$6:$A$30,0))="","판정 없음",IF(AND(INDEX(실행기록!$J$6:$J$30,MATCH(E29,실행기록!$A$6:$A$30,0))="합격",OR(INDEX(실행기록!$D$6:$D$30,MATCH(E29,실행기록!$A$6:$A$30,0))="",INDEX(실행기록!$E$6:$E$30,MATCH(E29,실행기록!$A$6:$A$30,0))="",INDEX(실행기록!$F$6:$F$30,MATCH(E29,실행기록!$A$6:$A$30,0))="",INDEX(실행기록!$G$6:$G$30,MATCH(E29,실행기록!$A$6:$A$30,0))="")),"기록 미완료",INDEX(실행기록!$J$6:$J$30,MATCH(E29,실행기록!$A$6:$A$30,0)))))))</f>
        <v>합격</v>
      </c>
      <c r="G29" s="6" t="str">
        <f>IF(E29="","",IF(COUNTIFS(실행기록!$A$6:$A$30,E29)&lt;&gt;1,"",IF(INDEX(실행기록!$B$6:$B$30,MATCH(E29,실행기록!$A$6:$A$30,0))&lt;&gt;A29,"",IF(INDEX(실행기록!$I$6:$I$30,MATCH(E29,실행기록!$A$6:$A$30,0))="","",INDEX(실행기록!$I$6:$I$30,MATCH(E29,실행기록!$A$6:$A$30,0))))))</f>
        <v>AE11_01_continuous_run.mp4</v>
      </c>
      <c r="H29" s="14" t="str">
        <f>IF(E29="","미연결",IF(G29="","증거 없음",IF(COUNTIFS(증거목록!$A$6:$A$393,G29)&lt;&gt;1,"미등록/중복",IF(INDEX(증거목록!$B$6:$B$393,MATCH(G29,증거목록!$A$6:$A$393,0))&lt;&gt;E29,"증거 실행ID 불일치",IF(INDEX(증거목록!$D$6:$D$393,MATCH(G29,증거목록!$A$6:$A$393,0))="","경로 없음","등록됨")))))</f>
        <v>등록됨</v>
      </c>
      <c r="I29" s="6" t="s">
        <v>83</v>
      </c>
      <c r="J29" s="8"/>
    </row>
    <row r="30" spans="1:10" ht="27.95" customHeight="1">
      <c r="A30" s="7" t="s">
        <v>84</v>
      </c>
      <c r="B30" s="7" t="s">
        <v>81</v>
      </c>
      <c r="C30" s="7" t="s">
        <v>85</v>
      </c>
      <c r="D30" s="7" t="s">
        <v>15</v>
      </c>
      <c r="E30" s="8" t="s">
        <v>1482</v>
      </c>
      <c r="F30" s="7" t="str">
        <f>IF(E30="","미실시",IF(COUNTIFS(실행기록!$A$6:$A$30,E30)&lt;&gt;1,"실행ID 확인",IF(INDEX(실행기록!$B$6:$B$30,MATCH(E30,실행기록!$A$6:$A$30,0))&lt;&gt;A30,"시험ID 불일치",IF(INDEX(실행기록!$J$6:$J$30,MATCH(E30,실행기록!$A$6:$A$30,0))="","판정 없음",IF(AND(INDEX(실행기록!$J$6:$J$30,MATCH(E30,실행기록!$A$6:$A$30,0))="합격",OR(INDEX(실행기록!$D$6:$D$30,MATCH(E30,실행기록!$A$6:$A$30,0))="",INDEX(실행기록!$E$6:$E$30,MATCH(E30,실행기록!$A$6:$A$30,0))="",INDEX(실행기록!$F$6:$F$30,MATCH(E30,실행기록!$A$6:$A$30,0))="",INDEX(실행기록!$G$6:$G$30,MATCH(E30,실행기록!$A$6:$A$30,0))="")),"기록 미완료",INDEX(실행기록!$J$6:$J$30,MATCH(E30,실행기록!$A$6:$A$30,0)))))))</f>
        <v>합격</v>
      </c>
      <c r="G30" s="7" t="str">
        <f>IF(E30="","",IF(COUNTIFS(실행기록!$A$6:$A$30,E30)&lt;&gt;1,"",IF(INDEX(실행기록!$B$6:$B$30,MATCH(E30,실행기록!$A$6:$A$30,0))&lt;&gt;A30,"",IF(INDEX(실행기록!$I$6:$I$30,MATCH(E30,실행기록!$A$6:$A$30,0))="","",INDEX(실행기록!$I$6:$I$30,MATCH(E30,실행기록!$A$6:$A$30,0))))))</f>
        <v>AE12_01_normal_shutdown.mp4</v>
      </c>
      <c r="H30" s="13" t="str">
        <f>IF(E30="","미연결",IF(G30="","증거 없음",IF(COUNTIFS(증거목록!$A$6:$A$393,G30)&lt;&gt;1,"미등록/중복",IF(INDEX(증거목록!$B$6:$B$393,MATCH(G30,증거목록!$A$6:$A$393,0))&lt;&gt;E30,"증거 실행ID 불일치",IF(INDEX(증거목록!$D$6:$D$393,MATCH(G30,증거목록!$A$6:$A$393,0))="","경로 없음","등록됨")))))</f>
        <v>등록됨</v>
      </c>
      <c r="I30" s="7" t="s">
        <v>86</v>
      </c>
      <c r="J30" s="8"/>
    </row>
    <row r="31" spans="1:10" ht="80.099999999999994" customHeight="1"/>
  </sheetData>
  <phoneticPr fontId="6" type="noConversion"/>
  <conditionalFormatting sqref="F6:H30">
    <cfRule type="containsText" dxfId="7" priority="1" operator="containsText" text="불합격"/>
    <cfRule type="containsText" dxfId="6" priority="2" operator="containsText" text="보류"/>
    <cfRule type="containsText" dxfId="5" priority="3" operator="containsText" text="실행ID 확인"/>
    <cfRule type="containsText" dxfId="4" priority="6" operator="containsText" text="증거 없음"/>
  </conditionalFormatting>
  <pageMargins left="0.23622047244094491" right="0.23622047244094491" top="0.39370078740157483" bottom="0.39370078740157483" header="0.19685039370078741" footer="0.19685039370078741"/>
  <pageSetup paperSize="8" scale="9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1"/>
  <sheetViews>
    <sheetView showGridLines="0" workbookViewId="0">
      <pane xSplit="2" ySplit="5" topLeftCell="G27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4.25"/>
  <cols>
    <col min="1" max="1" width="22.75" customWidth="1"/>
    <col min="2" max="2" width="8" customWidth="1"/>
    <col min="3" max="3" width="8.75" bestFit="1" customWidth="1"/>
    <col min="4" max="4" width="12.125" bestFit="1" customWidth="1"/>
    <col min="5" max="6" width="17.125" bestFit="1" customWidth="1"/>
    <col min="7" max="7" width="107.5" bestFit="1" customWidth="1"/>
    <col min="8" max="8" width="107.875" bestFit="1" customWidth="1"/>
    <col min="9" max="9" width="28.375" bestFit="1" customWidth="1"/>
    <col min="10" max="10" width="8.75" bestFit="1" customWidth="1"/>
    <col min="11" max="11" width="13.625" bestFit="1" customWidth="1"/>
    <col min="12" max="12" width="12.125" bestFit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>
      <c r="A2" s="2" t="s">
        <v>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3" t="s">
        <v>88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5" t="s">
        <v>89</v>
      </c>
      <c r="B5" s="5" t="s">
        <v>2</v>
      </c>
      <c r="C5" s="5" t="s">
        <v>90</v>
      </c>
      <c r="D5" s="5" t="s">
        <v>91</v>
      </c>
      <c r="E5" s="5" t="s">
        <v>92</v>
      </c>
      <c r="F5" s="5" t="s">
        <v>93</v>
      </c>
      <c r="G5" s="5" t="s">
        <v>94</v>
      </c>
      <c r="H5" s="5" t="s">
        <v>95</v>
      </c>
      <c r="I5" s="5" t="s">
        <v>8</v>
      </c>
      <c r="J5" s="5" t="s">
        <v>7</v>
      </c>
      <c r="K5" s="5" t="s">
        <v>96</v>
      </c>
      <c r="L5" s="5" t="s">
        <v>97</v>
      </c>
    </row>
    <row r="6" spans="1:12" ht="159.94999999999999" customHeight="1">
      <c r="A6" s="8" t="s">
        <v>314</v>
      </c>
      <c r="B6" s="8" t="s">
        <v>12</v>
      </c>
      <c r="C6" s="10">
        <v>1</v>
      </c>
      <c r="D6" s="8" t="s">
        <v>316</v>
      </c>
      <c r="E6" s="9">
        <v>46312.612847222219</v>
      </c>
      <c r="F6" s="9">
        <v>46312.626736111109</v>
      </c>
      <c r="G6" s="8" t="s">
        <v>347</v>
      </c>
      <c r="H6" s="8" t="s">
        <v>346</v>
      </c>
      <c r="I6" s="8" t="s">
        <v>349</v>
      </c>
      <c r="J6" s="8" t="s">
        <v>348</v>
      </c>
      <c r="K6" s="8"/>
      <c r="L6" s="8"/>
    </row>
    <row r="7" spans="1:12" ht="159.94999999999999" customHeight="1">
      <c r="A7" s="8" t="s">
        <v>345</v>
      </c>
      <c r="B7" s="8" t="s">
        <v>17</v>
      </c>
      <c r="C7" s="10">
        <v>1</v>
      </c>
      <c r="D7" s="8" t="s">
        <v>316</v>
      </c>
      <c r="E7" s="9">
        <v>46312.640277777777</v>
      </c>
      <c r="F7" s="9">
        <v>46312.671527777777</v>
      </c>
      <c r="G7" s="8" t="s">
        <v>363</v>
      </c>
      <c r="H7" s="8" t="s">
        <v>364</v>
      </c>
      <c r="I7" s="8" t="s">
        <v>362</v>
      </c>
      <c r="J7" s="8" t="s">
        <v>348</v>
      </c>
      <c r="K7" s="8"/>
      <c r="L7" s="8"/>
    </row>
    <row r="8" spans="1:12" ht="159.94999999999999" customHeight="1">
      <c r="A8" s="8" t="s">
        <v>408</v>
      </c>
      <c r="B8" s="8" t="s">
        <v>20</v>
      </c>
      <c r="C8" s="10">
        <v>1</v>
      </c>
      <c r="D8" s="8" t="s">
        <v>315</v>
      </c>
      <c r="E8" s="9">
        <v>46312.784120370372</v>
      </c>
      <c r="F8" s="9">
        <v>46312.788935185185</v>
      </c>
      <c r="G8" s="8" t="s">
        <v>435</v>
      </c>
      <c r="H8" s="8" t="s">
        <v>410</v>
      </c>
      <c r="I8" s="8" t="s">
        <v>409</v>
      </c>
      <c r="J8" s="8" t="s">
        <v>348</v>
      </c>
      <c r="K8" s="8"/>
      <c r="L8" s="8"/>
    </row>
    <row r="9" spans="1:12" ht="159.94999999999999" customHeight="1">
      <c r="A9" s="8" t="s">
        <v>436</v>
      </c>
      <c r="B9" s="8" t="s">
        <v>24</v>
      </c>
      <c r="C9" s="10">
        <v>1</v>
      </c>
      <c r="D9" s="8" t="s">
        <v>315</v>
      </c>
      <c r="E9" s="9">
        <v>46312.805625000001</v>
      </c>
      <c r="F9" s="9">
        <v>46312.808749999997</v>
      </c>
      <c r="G9" s="8" t="s">
        <v>438</v>
      </c>
      <c r="H9" s="8" t="s">
        <v>439</v>
      </c>
      <c r="I9" s="8" t="s">
        <v>437</v>
      </c>
      <c r="J9" s="8" t="s">
        <v>348</v>
      </c>
      <c r="K9" s="8"/>
      <c r="L9" s="8"/>
    </row>
    <row r="10" spans="1:12" ht="159.94999999999999" customHeight="1">
      <c r="A10" s="8" t="s">
        <v>462</v>
      </c>
      <c r="B10" s="8" t="s">
        <v>26</v>
      </c>
      <c r="C10" s="10">
        <v>1</v>
      </c>
      <c r="D10" s="8" t="s">
        <v>315</v>
      </c>
      <c r="E10" s="9">
        <v>46312.817094907405</v>
      </c>
      <c r="F10" s="9">
        <v>46312.819641203707</v>
      </c>
      <c r="G10" s="8" t="s">
        <v>464</v>
      </c>
      <c r="H10" s="8" t="s">
        <v>465</v>
      </c>
      <c r="I10" s="8" t="s">
        <v>463</v>
      </c>
      <c r="J10" s="8" t="s">
        <v>348</v>
      </c>
      <c r="K10" s="8"/>
      <c r="L10" s="8"/>
    </row>
    <row r="11" spans="1:12" ht="159.94999999999999" customHeight="1">
      <c r="A11" s="8" t="s">
        <v>488</v>
      </c>
      <c r="B11" s="8" t="s">
        <v>28</v>
      </c>
      <c r="C11" s="10">
        <v>1</v>
      </c>
      <c r="D11" s="8" t="s">
        <v>315</v>
      </c>
      <c r="E11" s="9">
        <v>46312.831793981481</v>
      </c>
      <c r="F11" s="9">
        <v>46312.838518518518</v>
      </c>
      <c r="G11" s="8" t="s">
        <v>490</v>
      </c>
      <c r="H11" s="8" t="s">
        <v>491</v>
      </c>
      <c r="I11" s="8" t="s">
        <v>489</v>
      </c>
      <c r="J11" s="8" t="s">
        <v>348</v>
      </c>
      <c r="K11" s="8"/>
      <c r="L11" s="8"/>
    </row>
    <row r="12" spans="1:12" ht="159.94999999999999" customHeight="1">
      <c r="A12" s="8" t="s">
        <v>523</v>
      </c>
      <c r="B12" s="8" t="s">
        <v>31</v>
      </c>
      <c r="C12" s="10">
        <v>1</v>
      </c>
      <c r="D12" s="8" t="s">
        <v>315</v>
      </c>
      <c r="E12" s="9">
        <v>46312.87127314815</v>
      </c>
      <c r="F12" s="9">
        <v>46312.877708333333</v>
      </c>
      <c r="G12" s="8" t="s">
        <v>525</v>
      </c>
      <c r="H12" s="8" t="s">
        <v>526</v>
      </c>
      <c r="I12" s="8" t="s">
        <v>524</v>
      </c>
      <c r="J12" s="8" t="s">
        <v>348</v>
      </c>
      <c r="K12" s="8"/>
      <c r="L12" s="8"/>
    </row>
    <row r="13" spans="1:12" ht="159.94999999999999" customHeight="1">
      <c r="A13" s="8" t="s">
        <v>552</v>
      </c>
      <c r="B13" s="8" t="s">
        <v>34</v>
      </c>
      <c r="C13" s="10">
        <v>1</v>
      </c>
      <c r="D13" s="8" t="s">
        <v>315</v>
      </c>
      <c r="E13" s="9">
        <v>46313.928587962961</v>
      </c>
      <c r="F13" s="9">
        <v>46313.944745370369</v>
      </c>
      <c r="G13" s="8" t="s">
        <v>556</v>
      </c>
      <c r="H13" s="8" t="s">
        <v>555</v>
      </c>
      <c r="I13" s="8" t="s">
        <v>553</v>
      </c>
      <c r="J13" s="8" t="s">
        <v>348</v>
      </c>
      <c r="K13" s="8" t="s">
        <v>557</v>
      </c>
      <c r="L13" s="8"/>
    </row>
    <row r="14" spans="1:12" ht="159.94999999999999" customHeight="1">
      <c r="A14" s="8" t="s">
        <v>597</v>
      </c>
      <c r="B14" s="8" t="s">
        <v>38</v>
      </c>
      <c r="C14" s="10">
        <v>1</v>
      </c>
      <c r="D14" s="8" t="s">
        <v>315</v>
      </c>
      <c r="E14" s="9">
        <v>46313.970023148147</v>
      </c>
      <c r="F14" s="9">
        <v>46313.97515046296</v>
      </c>
      <c r="G14" s="8" t="s">
        <v>599</v>
      </c>
      <c r="H14" s="8" t="s">
        <v>600</v>
      </c>
      <c r="I14" s="8" t="s">
        <v>598</v>
      </c>
      <c r="J14" s="8" t="s">
        <v>348</v>
      </c>
      <c r="K14" s="8"/>
      <c r="L14" s="8"/>
    </row>
    <row r="15" spans="1:12" ht="159.94999999999999" customHeight="1">
      <c r="A15" s="8" t="s">
        <v>624</v>
      </c>
      <c r="B15" s="8" t="s">
        <v>41</v>
      </c>
      <c r="C15" s="10">
        <v>1</v>
      </c>
      <c r="D15" s="8" t="s">
        <v>315</v>
      </c>
      <c r="E15" s="9">
        <v>46314.655324074076</v>
      </c>
      <c r="F15" s="9">
        <v>46314.670069444444</v>
      </c>
      <c r="G15" s="8" t="s">
        <v>627</v>
      </c>
      <c r="H15" s="8" t="s">
        <v>628</v>
      </c>
      <c r="I15" s="8" t="s">
        <v>625</v>
      </c>
      <c r="J15" s="8" t="s">
        <v>348</v>
      </c>
      <c r="K15" s="8" t="s">
        <v>626</v>
      </c>
      <c r="L15" s="8"/>
    </row>
    <row r="16" spans="1:12" ht="159.94999999999999" customHeight="1">
      <c r="A16" s="8" t="s">
        <v>682</v>
      </c>
      <c r="B16" s="8" t="s">
        <v>44</v>
      </c>
      <c r="C16" s="10">
        <v>1</v>
      </c>
      <c r="D16" s="8" t="s">
        <v>315</v>
      </c>
      <c r="E16" s="9">
        <v>46314.682638888888</v>
      </c>
      <c r="F16" s="9">
        <v>46314.702939814815</v>
      </c>
      <c r="G16" s="8" t="s">
        <v>684</v>
      </c>
      <c r="H16" s="8" t="s">
        <v>685</v>
      </c>
      <c r="I16" s="8" t="s">
        <v>683</v>
      </c>
      <c r="J16" s="8" t="s">
        <v>348</v>
      </c>
      <c r="K16" s="8"/>
      <c r="L16" s="8"/>
    </row>
    <row r="17" spans="1:12" ht="159.94999999999999" customHeight="1">
      <c r="A17" s="8" t="s">
        <v>759</v>
      </c>
      <c r="B17" s="8" t="s">
        <v>47</v>
      </c>
      <c r="C17" s="10">
        <v>1</v>
      </c>
      <c r="D17" s="8" t="s">
        <v>315</v>
      </c>
      <c r="E17" s="9">
        <v>46315.681226851855</v>
      </c>
      <c r="F17" s="9">
        <v>46315.694039351853</v>
      </c>
      <c r="G17" s="8" t="s">
        <v>761</v>
      </c>
      <c r="H17" s="8" t="s">
        <v>762</v>
      </c>
      <c r="I17" s="8" t="s">
        <v>760</v>
      </c>
      <c r="J17" s="8" t="s">
        <v>348</v>
      </c>
      <c r="K17" s="8"/>
      <c r="L17" s="8"/>
    </row>
    <row r="18" spans="1:12" ht="159.94999999999999" customHeight="1">
      <c r="A18" s="8" t="s">
        <v>792</v>
      </c>
      <c r="B18" s="8" t="s">
        <v>50</v>
      </c>
      <c r="C18" s="10">
        <v>1</v>
      </c>
      <c r="D18" s="8" t="s">
        <v>315</v>
      </c>
      <c r="E18" s="9">
        <v>46315.723738425928</v>
      </c>
      <c r="F18" s="9">
        <v>46315.73101851852</v>
      </c>
      <c r="G18" s="8" t="s">
        <v>794</v>
      </c>
      <c r="H18" s="8" t="s">
        <v>795</v>
      </c>
      <c r="I18" s="8" t="s">
        <v>793</v>
      </c>
      <c r="J18" s="8" t="s">
        <v>348</v>
      </c>
      <c r="K18" s="8"/>
      <c r="L18" s="8"/>
    </row>
    <row r="19" spans="1:12" ht="159.94999999999999" customHeight="1">
      <c r="A19" s="8" t="s">
        <v>831</v>
      </c>
      <c r="B19" s="8" t="s">
        <v>54</v>
      </c>
      <c r="C19" s="10">
        <v>1</v>
      </c>
      <c r="D19" s="8" t="s">
        <v>315</v>
      </c>
      <c r="E19" s="9">
        <v>46315.741030092591</v>
      </c>
      <c r="F19" s="9">
        <v>46315.751759259256</v>
      </c>
      <c r="G19" s="8" t="s">
        <v>833</v>
      </c>
      <c r="H19" s="8" t="s">
        <v>834</v>
      </c>
      <c r="I19" s="8" t="s">
        <v>832</v>
      </c>
      <c r="J19" s="8" t="s">
        <v>348</v>
      </c>
      <c r="K19" s="8"/>
      <c r="L19" s="8"/>
    </row>
    <row r="20" spans="1:12" ht="159.94999999999999" customHeight="1">
      <c r="A20" s="8" t="s">
        <v>888</v>
      </c>
      <c r="B20" s="8" t="s">
        <v>56</v>
      </c>
      <c r="C20" s="10">
        <v>1</v>
      </c>
      <c r="D20" s="8" t="s">
        <v>315</v>
      </c>
      <c r="E20" s="9">
        <v>46315.821840277778</v>
      </c>
      <c r="F20" s="9">
        <v>46315.832499999997</v>
      </c>
      <c r="G20" s="8" t="s">
        <v>890</v>
      </c>
      <c r="H20" s="8" t="s">
        <v>891</v>
      </c>
      <c r="I20" s="8" t="s">
        <v>889</v>
      </c>
      <c r="J20" s="8" t="s">
        <v>348</v>
      </c>
      <c r="K20" s="8"/>
      <c r="L20" s="8"/>
    </row>
    <row r="21" spans="1:12" ht="159.94999999999999" customHeight="1">
      <c r="A21" s="8" t="s">
        <v>956</v>
      </c>
      <c r="B21" s="8" t="s">
        <v>58</v>
      </c>
      <c r="C21" s="10">
        <v>1</v>
      </c>
      <c r="D21" s="8" t="s">
        <v>315</v>
      </c>
      <c r="E21" s="9">
        <v>46315.84988425926</v>
      </c>
      <c r="F21" s="9">
        <v>46315.856863425928</v>
      </c>
      <c r="G21" s="8" t="s">
        <v>958</v>
      </c>
      <c r="H21" s="8" t="s">
        <v>959</v>
      </c>
      <c r="I21" s="8" t="s">
        <v>957</v>
      </c>
      <c r="J21" s="8" t="s">
        <v>348</v>
      </c>
      <c r="K21" s="8"/>
      <c r="L21" s="8"/>
    </row>
    <row r="22" spans="1:12" ht="159.94999999999999" customHeight="1">
      <c r="A22" s="8" t="s">
        <v>1018</v>
      </c>
      <c r="B22" s="8" t="s">
        <v>60</v>
      </c>
      <c r="C22" s="10">
        <v>1</v>
      </c>
      <c r="D22" s="8" t="s">
        <v>315</v>
      </c>
      <c r="E22" s="9">
        <v>46315.882916666669</v>
      </c>
      <c r="F22" s="9">
        <v>46315.889699074076</v>
      </c>
      <c r="G22" s="8" t="s">
        <v>1021</v>
      </c>
      <c r="H22" s="8" t="s">
        <v>1020</v>
      </c>
      <c r="I22" s="8" t="s">
        <v>1019</v>
      </c>
      <c r="J22" s="8" t="s">
        <v>348</v>
      </c>
      <c r="K22" s="8"/>
      <c r="L22" s="8"/>
    </row>
    <row r="23" spans="1:12" ht="159.94999999999999" customHeight="1">
      <c r="A23" s="8" t="s">
        <v>1080</v>
      </c>
      <c r="B23" s="8" t="s">
        <v>62</v>
      </c>
      <c r="C23" s="10">
        <v>1</v>
      </c>
      <c r="D23" s="8" t="s">
        <v>315</v>
      </c>
      <c r="E23" s="9">
        <v>46316.544537037036</v>
      </c>
      <c r="F23" s="9">
        <v>46316.549791666665</v>
      </c>
      <c r="G23" s="8" t="s">
        <v>1082</v>
      </c>
      <c r="H23" s="8" t="s">
        <v>1083</v>
      </c>
      <c r="I23" s="8" t="s">
        <v>1081</v>
      </c>
      <c r="J23" s="8" t="s">
        <v>348</v>
      </c>
      <c r="K23" s="8"/>
      <c r="L23" s="8"/>
    </row>
    <row r="24" spans="1:12" ht="159.94999999999999" customHeight="1">
      <c r="A24" s="8" t="s">
        <v>1142</v>
      </c>
      <c r="B24" s="8" t="s">
        <v>64</v>
      </c>
      <c r="C24" s="10">
        <v>2</v>
      </c>
      <c r="D24" s="8" t="s">
        <v>315</v>
      </c>
      <c r="E24" s="9">
        <v>46316.615960648145</v>
      </c>
      <c r="F24" s="9">
        <v>46316.621064814812</v>
      </c>
      <c r="G24" s="8" t="s">
        <v>1201</v>
      </c>
      <c r="H24" s="8" t="s">
        <v>1144</v>
      </c>
      <c r="I24" s="8" t="s">
        <v>1143</v>
      </c>
      <c r="J24" s="8" t="s">
        <v>348</v>
      </c>
      <c r="K24" s="8"/>
      <c r="L24" s="8"/>
    </row>
    <row r="25" spans="1:12" ht="159.94999999999999" customHeight="1">
      <c r="A25" s="8" t="s">
        <v>1210</v>
      </c>
      <c r="B25" s="8" t="s">
        <v>67</v>
      </c>
      <c r="C25" s="10">
        <v>1</v>
      </c>
      <c r="D25" s="8" t="s">
        <v>315</v>
      </c>
      <c r="E25" s="9">
        <v>46316.669074074074</v>
      </c>
      <c r="F25" s="9">
        <v>46316.674467592595</v>
      </c>
      <c r="G25" s="8" t="s">
        <v>1212</v>
      </c>
      <c r="H25" s="8" t="s">
        <v>1213</v>
      </c>
      <c r="I25" s="8" t="s">
        <v>1211</v>
      </c>
      <c r="J25" s="8" t="s">
        <v>348</v>
      </c>
      <c r="K25" s="8"/>
      <c r="L25" s="8"/>
    </row>
    <row r="26" spans="1:12" ht="159.94999999999999" customHeight="1">
      <c r="A26" s="8" t="s">
        <v>1261</v>
      </c>
      <c r="B26" s="8" t="s">
        <v>71</v>
      </c>
      <c r="C26" s="10">
        <v>1</v>
      </c>
      <c r="D26" s="8" t="s">
        <v>315</v>
      </c>
      <c r="E26" s="9">
        <v>46316.816990740743</v>
      </c>
      <c r="F26" s="9">
        <v>46316.824374999997</v>
      </c>
      <c r="G26" s="8" t="s">
        <v>1263</v>
      </c>
      <c r="H26" s="8" t="s">
        <v>1264</v>
      </c>
      <c r="I26" s="8" t="s">
        <v>1262</v>
      </c>
      <c r="J26" s="8" t="s">
        <v>348</v>
      </c>
      <c r="K26" s="8"/>
      <c r="L26" s="8"/>
    </row>
    <row r="27" spans="1:12" ht="159.94999999999999" customHeight="1">
      <c r="A27" s="8" t="s">
        <v>1336</v>
      </c>
      <c r="B27" s="8" t="s">
        <v>74</v>
      </c>
      <c r="C27" s="10">
        <v>1</v>
      </c>
      <c r="D27" s="8" t="s">
        <v>315</v>
      </c>
      <c r="E27" s="9">
        <v>46316.853472222225</v>
      </c>
      <c r="F27" s="9">
        <v>46316.859895833331</v>
      </c>
      <c r="G27" s="8" t="s">
        <v>1339</v>
      </c>
      <c r="H27" s="8" t="s">
        <v>1338</v>
      </c>
      <c r="I27" s="8" t="s">
        <v>1337</v>
      </c>
      <c r="J27" s="8" t="s">
        <v>348</v>
      </c>
      <c r="K27" s="8"/>
      <c r="L27" s="8"/>
    </row>
    <row r="28" spans="1:12" ht="159.94999999999999" customHeight="1">
      <c r="A28" s="8" t="s">
        <v>1405</v>
      </c>
      <c r="B28" s="8" t="s">
        <v>77</v>
      </c>
      <c r="C28" s="10">
        <v>1</v>
      </c>
      <c r="D28" s="8" t="s">
        <v>315</v>
      </c>
      <c r="E28" s="9">
        <v>46316.878472222219</v>
      </c>
      <c r="F28" s="9">
        <v>46316.886481481481</v>
      </c>
      <c r="G28" s="8" t="s">
        <v>1407</v>
      </c>
      <c r="H28" s="8" t="s">
        <v>1408</v>
      </c>
      <c r="I28" s="8" t="s">
        <v>1406</v>
      </c>
      <c r="J28" s="8" t="s">
        <v>348</v>
      </c>
      <c r="K28" s="8"/>
      <c r="L28" s="8"/>
    </row>
    <row r="29" spans="1:12" ht="159.94999999999999" customHeight="1">
      <c r="A29" s="8" t="s">
        <v>1480</v>
      </c>
      <c r="B29" s="8" t="s">
        <v>80</v>
      </c>
      <c r="C29" s="10">
        <v>1</v>
      </c>
      <c r="D29" s="8" t="s">
        <v>315</v>
      </c>
      <c r="E29" s="9">
        <v>46317.014733796299</v>
      </c>
      <c r="F29" s="9">
        <v>46317.039525462962</v>
      </c>
      <c r="G29" s="8" t="s">
        <v>1484</v>
      </c>
      <c r="H29" s="8" t="s">
        <v>1485</v>
      </c>
      <c r="I29" s="8" t="s">
        <v>1481</v>
      </c>
      <c r="J29" s="8" t="s">
        <v>348</v>
      </c>
      <c r="K29" s="8"/>
      <c r="L29" s="8"/>
    </row>
    <row r="30" spans="1:12" ht="159.94999999999999" customHeight="1">
      <c r="A30" s="8" t="s">
        <v>1482</v>
      </c>
      <c r="B30" s="8" t="s">
        <v>84</v>
      </c>
      <c r="C30" s="10">
        <v>1</v>
      </c>
      <c r="D30" s="8" t="s">
        <v>315</v>
      </c>
      <c r="E30" s="9">
        <v>46317.043032407404</v>
      </c>
      <c r="F30" s="9">
        <v>46317.048611111109</v>
      </c>
      <c r="G30" s="8" t="s">
        <v>1486</v>
      </c>
      <c r="H30" s="8" t="s">
        <v>1487</v>
      </c>
      <c r="I30" s="8" t="s">
        <v>1483</v>
      </c>
      <c r="J30" s="8" t="s">
        <v>348</v>
      </c>
      <c r="K30" s="8"/>
      <c r="L30" s="8"/>
    </row>
    <row r="31" spans="1:12" ht="80.099999999999994" customHeight="1"/>
  </sheetData>
  <phoneticPr fontId="6" type="noConversion"/>
  <conditionalFormatting sqref="J6:J30">
    <cfRule type="containsText" dxfId="3" priority="1" operator="containsText" text="불합격"/>
    <cfRule type="containsText" dxfId="2" priority="2" operator="containsText" text="보류"/>
    <cfRule type="containsText" dxfId="1" priority="3" operator="containsText" text="실행ID 확인"/>
    <cfRule type="containsText" dxfId="0" priority="6" operator="containsText" text="증거 없음"/>
  </conditionalFormatting>
  <dataValidations disablePrompts="1" count="2">
    <dataValidation type="list" sqref="J6:J30" xr:uid="{00000000-0002-0000-0100-000000000000}">
      <formula1>"미실시,진행중,합격,불합격,보류,제외"</formula1>
    </dataValidation>
    <dataValidation type="list" sqref="B6:B30" xr:uid="{00000000-0002-0000-0100-000001000000}">
      <formula1>"P01,AE01,P02,P03,P04,AE02,AE05,P05,P06,P07,P08,P09,P10,P11,P12,P13,P14,P15,P17,P16,AE08,AE09,AE10,AE11,AE12,AE06,FX01"</formula1>
    </dataValidation>
  </dataValidations>
  <pageMargins left="0.23622047244094491" right="0.23622047244094491" top="0.39370078740157483" bottom="0.39370078740157483" header="0.19685039370078741" footer="0.19685039370078741"/>
  <pageSetup paperSize="8" scale="5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showGridLines="0" zoomScaleNormal="100" workbookViewId="0">
      <pane xSplit="1" ySplit="5" topLeftCell="B24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4.25"/>
  <cols>
    <col min="1" max="1" width="6.375" customWidth="1"/>
    <col min="2" max="2" width="17.25" bestFit="1" customWidth="1"/>
    <col min="3" max="3" width="57.875" bestFit="1" customWidth="1"/>
    <col min="4" max="4" width="85" customWidth="1"/>
    <col min="5" max="5" width="11.125" bestFit="1" customWidth="1"/>
    <col min="6" max="6" width="20.625" customWidth="1"/>
    <col min="7" max="7" width="100.625" customWidth="1"/>
  </cols>
  <sheetData>
    <row r="1" spans="1:6">
      <c r="A1" s="1"/>
      <c r="B1" s="1"/>
      <c r="C1" s="1"/>
      <c r="D1" s="1"/>
      <c r="E1" s="1"/>
      <c r="F1" s="1"/>
    </row>
    <row r="2" spans="1:6" ht="20.25">
      <c r="A2" s="2" t="s">
        <v>98</v>
      </c>
      <c r="B2" s="1"/>
      <c r="C2" s="1"/>
      <c r="D2" s="1"/>
      <c r="E2" s="1"/>
      <c r="F2" s="1"/>
    </row>
    <row r="3" spans="1:6">
      <c r="A3" s="3" t="s">
        <v>99</v>
      </c>
      <c r="B3" s="1"/>
      <c r="C3" s="1"/>
      <c r="D3" s="1"/>
      <c r="E3" s="1"/>
      <c r="F3" s="1"/>
    </row>
    <row r="4" spans="1:6">
      <c r="A4" s="4"/>
      <c r="B4" s="4"/>
      <c r="C4" s="4"/>
      <c r="D4" s="4"/>
      <c r="E4" s="4"/>
      <c r="F4" s="4"/>
    </row>
    <row r="5" spans="1:6">
      <c r="A5" s="5" t="s">
        <v>100</v>
      </c>
      <c r="B5" s="5" t="s">
        <v>5</v>
      </c>
      <c r="C5" s="5" t="s">
        <v>292</v>
      </c>
      <c r="D5" s="5" t="s">
        <v>101</v>
      </c>
      <c r="E5" s="5" t="s">
        <v>102</v>
      </c>
      <c r="F5" s="5" t="s">
        <v>103</v>
      </c>
    </row>
    <row r="6" spans="1:6" ht="80.099999999999994" customHeight="1">
      <c r="A6" s="7" t="s">
        <v>104</v>
      </c>
      <c r="B6" s="7" t="s">
        <v>105</v>
      </c>
      <c r="C6" s="7" t="s">
        <v>277</v>
      </c>
      <c r="D6" s="8" t="s">
        <v>343</v>
      </c>
      <c r="E6" s="8" t="s">
        <v>317</v>
      </c>
      <c r="F6" s="7" t="s">
        <v>106</v>
      </c>
    </row>
    <row r="7" spans="1:6" ht="80.099999999999994" customHeight="1">
      <c r="A7" s="6" t="s">
        <v>107</v>
      </c>
      <c r="B7" s="6" t="s">
        <v>108</v>
      </c>
      <c r="C7" s="6" t="s">
        <v>109</v>
      </c>
      <c r="D7" s="8" t="s">
        <v>299</v>
      </c>
      <c r="E7" s="8" t="s">
        <v>318</v>
      </c>
      <c r="F7" s="6" t="s">
        <v>110</v>
      </c>
    </row>
    <row r="8" spans="1:6" ht="80.099999999999994" customHeight="1">
      <c r="A8" s="7" t="s">
        <v>111</v>
      </c>
      <c r="B8" s="7" t="s">
        <v>112</v>
      </c>
      <c r="C8" s="7" t="s">
        <v>113</v>
      </c>
      <c r="D8" s="8" t="s">
        <v>300</v>
      </c>
      <c r="E8" s="8" t="s">
        <v>319</v>
      </c>
      <c r="F8" s="7" t="s">
        <v>114</v>
      </c>
    </row>
    <row r="9" spans="1:6" ht="80.099999999999994" customHeight="1">
      <c r="A9" s="6" t="s">
        <v>115</v>
      </c>
      <c r="B9" s="6" t="s">
        <v>116</v>
      </c>
      <c r="C9" s="6" t="s">
        <v>117</v>
      </c>
      <c r="D9" s="8" t="s">
        <v>301</v>
      </c>
      <c r="E9" s="8" t="s">
        <v>320</v>
      </c>
      <c r="F9" s="6" t="s">
        <v>118</v>
      </c>
    </row>
    <row r="10" spans="1:6" ht="80.099999999999994" customHeight="1">
      <c r="A10" s="7" t="s">
        <v>119</v>
      </c>
      <c r="B10" s="7" t="s">
        <v>120</v>
      </c>
      <c r="C10" s="7" t="s">
        <v>297</v>
      </c>
      <c r="D10" s="8" t="s">
        <v>302</v>
      </c>
      <c r="E10" s="8" t="s">
        <v>321</v>
      </c>
      <c r="F10" s="7" t="s">
        <v>121</v>
      </c>
    </row>
    <row r="11" spans="1:6" ht="80.099999999999994" customHeight="1">
      <c r="A11" s="6" t="s">
        <v>122</v>
      </c>
      <c r="B11" s="6" t="s">
        <v>123</v>
      </c>
      <c r="C11" s="6" t="s">
        <v>278</v>
      </c>
      <c r="D11" s="8" t="s">
        <v>307</v>
      </c>
      <c r="E11" s="8" t="s">
        <v>322</v>
      </c>
      <c r="F11" s="6" t="s">
        <v>124</v>
      </c>
    </row>
    <row r="12" spans="1:6" ht="80.099999999999994" customHeight="1">
      <c r="A12" s="7" t="s">
        <v>125</v>
      </c>
      <c r="B12" s="7" t="s">
        <v>126</v>
      </c>
      <c r="C12" s="7" t="s">
        <v>308</v>
      </c>
      <c r="D12" s="8" t="s">
        <v>310</v>
      </c>
      <c r="E12" s="8" t="s">
        <v>323</v>
      </c>
      <c r="F12" s="7" t="s">
        <v>127</v>
      </c>
    </row>
    <row r="13" spans="1:6" ht="80.099999999999994" customHeight="1">
      <c r="A13" s="6" t="s">
        <v>128</v>
      </c>
      <c r="B13" s="6" t="s">
        <v>129</v>
      </c>
      <c r="C13" s="6" t="s">
        <v>130</v>
      </c>
      <c r="D13" s="8" t="s">
        <v>309</v>
      </c>
      <c r="E13" s="8" t="s">
        <v>324</v>
      </c>
      <c r="F13" s="6" t="s">
        <v>131</v>
      </c>
    </row>
    <row r="14" spans="1:6" ht="80.099999999999994" customHeight="1">
      <c r="A14" s="7" t="s">
        <v>132</v>
      </c>
      <c r="B14" s="7" t="s">
        <v>133</v>
      </c>
      <c r="C14" s="7" t="s">
        <v>293</v>
      </c>
      <c r="D14" s="8" t="s">
        <v>303</v>
      </c>
      <c r="E14" s="8" t="s">
        <v>325</v>
      </c>
      <c r="F14" s="7" t="s">
        <v>134</v>
      </c>
    </row>
    <row r="15" spans="1:6" ht="80.099999999999994" customHeight="1">
      <c r="A15" s="6" t="s">
        <v>135</v>
      </c>
      <c r="B15" s="6" t="s">
        <v>136</v>
      </c>
      <c r="C15" s="6" t="s">
        <v>281</v>
      </c>
      <c r="D15" s="8" t="s">
        <v>281</v>
      </c>
      <c r="E15" s="8" t="s">
        <v>326</v>
      </c>
      <c r="F15" s="6" t="s">
        <v>137</v>
      </c>
    </row>
    <row r="16" spans="1:6" ht="80.099999999999994" customHeight="1">
      <c r="A16" s="7" t="s">
        <v>138</v>
      </c>
      <c r="B16" s="7" t="s">
        <v>139</v>
      </c>
      <c r="C16" s="7" t="s">
        <v>280</v>
      </c>
      <c r="D16" s="8" t="s">
        <v>280</v>
      </c>
      <c r="E16" s="8" t="s">
        <v>327</v>
      </c>
      <c r="F16" s="7" t="s">
        <v>140</v>
      </c>
    </row>
    <row r="17" spans="1:6" ht="80.099999999999994" customHeight="1">
      <c r="A17" s="6" t="s">
        <v>141</v>
      </c>
      <c r="B17" s="6" t="s">
        <v>142</v>
      </c>
      <c r="C17" s="6" t="s">
        <v>279</v>
      </c>
      <c r="D17" s="8" t="s">
        <v>279</v>
      </c>
      <c r="E17" s="8" t="s">
        <v>328</v>
      </c>
      <c r="F17" s="6" t="s">
        <v>143</v>
      </c>
    </row>
    <row r="18" spans="1:6" ht="80.099999999999994" customHeight="1">
      <c r="A18" s="7" t="s">
        <v>144</v>
      </c>
      <c r="B18" s="7" t="s">
        <v>145</v>
      </c>
      <c r="C18" s="7" t="s">
        <v>146</v>
      </c>
      <c r="D18" s="8" t="s">
        <v>344</v>
      </c>
      <c r="E18" s="8" t="s">
        <v>329</v>
      </c>
      <c r="F18" s="7" t="s">
        <v>147</v>
      </c>
    </row>
    <row r="19" spans="1:6" ht="80.099999999999994" customHeight="1">
      <c r="A19" s="6" t="s">
        <v>148</v>
      </c>
      <c r="B19" s="6" t="s">
        <v>149</v>
      </c>
      <c r="C19" s="6" t="s">
        <v>150</v>
      </c>
      <c r="D19" s="8" t="s">
        <v>304</v>
      </c>
      <c r="E19" s="8" t="s">
        <v>330</v>
      </c>
      <c r="F19" s="6" t="s">
        <v>151</v>
      </c>
    </row>
    <row r="20" spans="1:6" ht="80.099999999999994" customHeight="1">
      <c r="A20" s="7" t="s">
        <v>152</v>
      </c>
      <c r="B20" s="7" t="s">
        <v>153</v>
      </c>
      <c r="C20" s="7" t="s">
        <v>282</v>
      </c>
      <c r="D20" s="8" t="s">
        <v>283</v>
      </c>
      <c r="E20" s="8" t="s">
        <v>331</v>
      </c>
      <c r="F20" s="7" t="s">
        <v>154</v>
      </c>
    </row>
    <row r="21" spans="1:6" ht="80.099999999999994" customHeight="1">
      <c r="A21" s="6" t="s">
        <v>155</v>
      </c>
      <c r="B21" s="6" t="s">
        <v>156</v>
      </c>
      <c r="C21" s="6" t="s">
        <v>284</v>
      </c>
      <c r="D21" s="8" t="s">
        <v>311</v>
      </c>
      <c r="E21" s="8" t="s">
        <v>332</v>
      </c>
      <c r="F21" s="6" t="s">
        <v>157</v>
      </c>
    </row>
    <row r="22" spans="1:6" ht="80.099999999999994" customHeight="1">
      <c r="A22" s="7" t="s">
        <v>158</v>
      </c>
      <c r="B22" s="7" t="s">
        <v>159</v>
      </c>
      <c r="C22" s="7" t="s">
        <v>285</v>
      </c>
      <c r="D22" s="8" t="s">
        <v>285</v>
      </c>
      <c r="E22" s="8" t="s">
        <v>333</v>
      </c>
      <c r="F22" s="7" t="s">
        <v>160</v>
      </c>
    </row>
    <row r="23" spans="1:6" ht="80.099999999999994" customHeight="1">
      <c r="A23" s="6" t="s">
        <v>161</v>
      </c>
      <c r="B23" s="6" t="s">
        <v>162</v>
      </c>
      <c r="C23" s="6" t="s">
        <v>286</v>
      </c>
      <c r="D23" s="8" t="s">
        <v>286</v>
      </c>
      <c r="E23" s="8" t="s">
        <v>334</v>
      </c>
      <c r="F23" s="6" t="s">
        <v>163</v>
      </c>
    </row>
    <row r="24" spans="1:6" ht="80.099999999999994" customHeight="1">
      <c r="A24" s="7" t="s">
        <v>164</v>
      </c>
      <c r="B24" s="7" t="s">
        <v>165</v>
      </c>
      <c r="C24" s="7" t="s">
        <v>287</v>
      </c>
      <c r="D24" s="8" t="s">
        <v>287</v>
      </c>
      <c r="E24" s="8" t="s">
        <v>335</v>
      </c>
      <c r="F24" s="7" t="s">
        <v>166</v>
      </c>
    </row>
    <row r="25" spans="1:6" ht="80.099999999999994" customHeight="1">
      <c r="A25" s="6" t="s">
        <v>167</v>
      </c>
      <c r="B25" s="6" t="s">
        <v>168</v>
      </c>
      <c r="C25" s="6" t="s">
        <v>288</v>
      </c>
      <c r="D25" s="8" t="s">
        <v>289</v>
      </c>
      <c r="E25" s="8" t="s">
        <v>336</v>
      </c>
      <c r="F25" s="6" t="s">
        <v>169</v>
      </c>
    </row>
    <row r="26" spans="1:6" ht="80.099999999999994" customHeight="1">
      <c r="A26" s="7" t="s">
        <v>170</v>
      </c>
      <c r="B26" s="7" t="s">
        <v>171</v>
      </c>
      <c r="C26" s="7" t="s">
        <v>290</v>
      </c>
      <c r="D26" s="8" t="s">
        <v>312</v>
      </c>
      <c r="E26" s="8" t="s">
        <v>337</v>
      </c>
      <c r="F26" s="7" t="s">
        <v>172</v>
      </c>
    </row>
    <row r="27" spans="1:6" ht="80.099999999999994" customHeight="1">
      <c r="A27" s="6" t="s">
        <v>173</v>
      </c>
      <c r="B27" s="6" t="s">
        <v>174</v>
      </c>
      <c r="C27" s="6" t="s">
        <v>291</v>
      </c>
      <c r="D27" s="8" t="s">
        <v>313</v>
      </c>
      <c r="E27" s="8" t="s">
        <v>338</v>
      </c>
      <c r="F27" s="6" t="s">
        <v>175</v>
      </c>
    </row>
    <row r="28" spans="1:6" ht="80.099999999999994" customHeight="1">
      <c r="A28" s="7" t="s">
        <v>176</v>
      </c>
      <c r="B28" s="7" t="s">
        <v>177</v>
      </c>
      <c r="C28" s="7" t="s">
        <v>294</v>
      </c>
      <c r="D28" s="8" t="s">
        <v>294</v>
      </c>
      <c r="E28" s="8" t="s">
        <v>339</v>
      </c>
      <c r="F28" s="7" t="s">
        <v>178</v>
      </c>
    </row>
    <row r="29" spans="1:6" ht="80.099999999999994" customHeight="1">
      <c r="A29" s="6" t="s">
        <v>179</v>
      </c>
      <c r="B29" s="6" t="s">
        <v>180</v>
      </c>
      <c r="C29" s="6" t="s">
        <v>295</v>
      </c>
      <c r="D29" s="8" t="s">
        <v>305</v>
      </c>
      <c r="E29" s="8" t="s">
        <v>340</v>
      </c>
      <c r="F29" s="6" t="s">
        <v>181</v>
      </c>
    </row>
    <row r="30" spans="1:6" ht="80.099999999999994" customHeight="1">
      <c r="A30" s="7" t="s">
        <v>182</v>
      </c>
      <c r="B30" s="7" t="s">
        <v>183</v>
      </c>
      <c r="C30" s="7" t="s">
        <v>298</v>
      </c>
      <c r="D30" s="8" t="s">
        <v>306</v>
      </c>
      <c r="E30" s="8" t="s">
        <v>341</v>
      </c>
      <c r="F30" s="7" t="s">
        <v>184</v>
      </c>
    </row>
    <row r="31" spans="1:6" ht="80.099999999999994" customHeight="1">
      <c r="A31" s="6" t="s">
        <v>185</v>
      </c>
      <c r="B31" s="6" t="s">
        <v>186</v>
      </c>
      <c r="C31" s="6" t="s">
        <v>187</v>
      </c>
      <c r="D31" s="8" t="s">
        <v>296</v>
      </c>
      <c r="E31" s="8" t="s">
        <v>342</v>
      </c>
      <c r="F31" s="6" t="s">
        <v>188</v>
      </c>
    </row>
  </sheetData>
  <phoneticPr fontId="6" type="noConversion"/>
  <pageMargins left="0.23622047244094491" right="0.23622047244094491" top="0.39370078740157483" bottom="0.39370078740157483" header="0.19685039370078741" footer="0.19685039370078741"/>
  <pageSetup paperSize="8" scale="95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3"/>
  <sheetViews>
    <sheetView showGridLines="0" workbookViewId="0">
      <pane xSplit="1" ySplit="5" topLeftCell="D364" activePane="bottomRight" state="frozen"/>
      <selection pane="topRight"/>
      <selection pane="bottomLeft"/>
      <selection pane="bottomRight" activeCell="G18" sqref="G18"/>
    </sheetView>
  </sheetViews>
  <sheetFormatPr defaultRowHeight="14.25"/>
  <cols>
    <col min="1" max="1" width="29" customWidth="1"/>
    <col min="2" max="2" width="23.5" bestFit="1" customWidth="1"/>
    <col min="3" max="3" width="5" bestFit="1" customWidth="1"/>
    <col min="4" max="4" width="72" customWidth="1"/>
    <col min="5" max="5" width="17.125" bestFit="1" customWidth="1"/>
    <col min="6" max="6" width="112.375" bestFit="1" customWidth="1"/>
  </cols>
  <sheetData>
    <row r="1" spans="1:6" ht="28.15" customHeight="1">
      <c r="A1" s="1"/>
      <c r="B1" s="1"/>
      <c r="C1" s="1"/>
      <c r="D1" s="1"/>
      <c r="E1" s="1"/>
      <c r="F1" s="1"/>
    </row>
    <row r="2" spans="1:6" ht="28.15" customHeight="1">
      <c r="A2" s="2" t="s">
        <v>189</v>
      </c>
      <c r="B2" s="1"/>
      <c r="C2" s="1"/>
      <c r="D2" s="1"/>
      <c r="E2" s="1"/>
      <c r="F2" s="1"/>
    </row>
    <row r="3" spans="1:6" ht="28.15" customHeight="1">
      <c r="A3" s="3" t="s">
        <v>190</v>
      </c>
      <c r="B3" s="1"/>
      <c r="C3" s="1"/>
      <c r="D3" s="1"/>
      <c r="E3" s="1"/>
      <c r="F3" s="1"/>
    </row>
    <row r="4" spans="1:6" ht="28.15" customHeight="1">
      <c r="A4" s="4"/>
      <c r="B4" s="4"/>
      <c r="C4" s="4"/>
      <c r="D4" s="4"/>
      <c r="E4" s="4"/>
      <c r="F4" s="4"/>
    </row>
    <row r="5" spans="1:6" ht="34.15" customHeight="1">
      <c r="A5" s="5" t="s">
        <v>102</v>
      </c>
      <c r="B5" s="5" t="s">
        <v>89</v>
      </c>
      <c r="C5" s="5" t="s">
        <v>191</v>
      </c>
      <c r="D5" s="5" t="s">
        <v>192</v>
      </c>
      <c r="E5" s="5" t="s">
        <v>193</v>
      </c>
      <c r="F5" s="5" t="s">
        <v>194</v>
      </c>
    </row>
    <row r="6" spans="1:6">
      <c r="A6" s="8" t="s">
        <v>349</v>
      </c>
      <c r="B6" s="8" t="s">
        <v>314</v>
      </c>
      <c r="C6" s="8" t="s">
        <v>350</v>
      </c>
      <c r="D6" s="8" t="s">
        <v>403</v>
      </c>
      <c r="E6" s="9">
        <v>46312.613194444442</v>
      </c>
      <c r="F6" s="8" t="s">
        <v>355</v>
      </c>
    </row>
    <row r="7" spans="1:6">
      <c r="A7" s="8" t="s">
        <v>351</v>
      </c>
      <c r="B7" s="8" t="s">
        <v>314</v>
      </c>
      <c r="C7" s="8" t="s">
        <v>350</v>
      </c>
      <c r="D7" s="8" t="s">
        <v>404</v>
      </c>
      <c r="E7" s="9">
        <v>46312.620833333334</v>
      </c>
      <c r="F7" s="8" t="s">
        <v>356</v>
      </c>
    </row>
    <row r="8" spans="1:6">
      <c r="A8" s="8" t="s">
        <v>352</v>
      </c>
      <c r="B8" s="8" t="s">
        <v>314</v>
      </c>
      <c r="C8" s="8" t="s">
        <v>350</v>
      </c>
      <c r="D8" s="8" t="s">
        <v>405</v>
      </c>
      <c r="E8" s="9">
        <v>46312.623611111114</v>
      </c>
      <c r="F8" s="8" t="s">
        <v>357</v>
      </c>
    </row>
    <row r="9" spans="1:6">
      <c r="A9" s="8" t="s">
        <v>353</v>
      </c>
      <c r="B9" s="8" t="s">
        <v>314</v>
      </c>
      <c r="C9" s="8" t="s">
        <v>350</v>
      </c>
      <c r="D9" s="8" t="s">
        <v>406</v>
      </c>
      <c r="E9" s="9">
        <v>46312.624305555553</v>
      </c>
      <c r="F9" s="8" t="s">
        <v>358</v>
      </c>
    </row>
    <row r="10" spans="1:6">
      <c r="A10" s="8" t="s">
        <v>354</v>
      </c>
      <c r="B10" s="8" t="s">
        <v>314</v>
      </c>
      <c r="C10" s="8" t="s">
        <v>350</v>
      </c>
      <c r="D10" s="8" t="s">
        <v>407</v>
      </c>
      <c r="E10" s="9">
        <v>46312.625</v>
      </c>
      <c r="F10" s="8" t="s">
        <v>359</v>
      </c>
    </row>
    <row r="11" spans="1:6">
      <c r="A11" s="8" t="s">
        <v>361</v>
      </c>
      <c r="B11" s="8" t="s">
        <v>360</v>
      </c>
      <c r="C11" s="8" t="s">
        <v>350</v>
      </c>
      <c r="D11" s="8" t="s">
        <v>365</v>
      </c>
      <c r="E11" s="9">
        <v>46312.642893518518</v>
      </c>
      <c r="F11" s="8" t="s">
        <v>366</v>
      </c>
    </row>
    <row r="12" spans="1:6">
      <c r="A12" s="8" t="s">
        <v>367</v>
      </c>
      <c r="B12" s="8" t="s">
        <v>360</v>
      </c>
      <c r="C12" s="8" t="s">
        <v>350</v>
      </c>
      <c r="D12" s="8" t="s">
        <v>368</v>
      </c>
      <c r="E12" s="9">
        <v>46312.644733796296</v>
      </c>
      <c r="F12" s="8" t="s">
        <v>369</v>
      </c>
    </row>
    <row r="13" spans="1:6" ht="27">
      <c r="A13" s="8" t="s">
        <v>370</v>
      </c>
      <c r="B13" s="8" t="s">
        <v>360</v>
      </c>
      <c r="C13" s="8" t="s">
        <v>350</v>
      </c>
      <c r="D13" s="8" t="s">
        <v>371</v>
      </c>
      <c r="E13" s="9">
        <v>46312.645335648151</v>
      </c>
      <c r="F13" s="8" t="s">
        <v>372</v>
      </c>
    </row>
    <row r="14" spans="1:6">
      <c r="A14" s="8" t="s">
        <v>373</v>
      </c>
      <c r="B14" s="8" t="s">
        <v>360</v>
      </c>
      <c r="C14" s="8" t="s">
        <v>350</v>
      </c>
      <c r="D14" s="8" t="s">
        <v>374</v>
      </c>
      <c r="E14" s="9">
        <v>46312.645138888889</v>
      </c>
      <c r="F14" s="8" t="s">
        <v>375</v>
      </c>
    </row>
    <row r="15" spans="1:6">
      <c r="A15" s="8" t="s">
        <v>376</v>
      </c>
      <c r="B15" s="8" t="s">
        <v>360</v>
      </c>
      <c r="C15" s="8" t="s">
        <v>350</v>
      </c>
      <c r="D15" s="8" t="s">
        <v>377</v>
      </c>
      <c r="E15" s="9">
        <v>46312.646041666667</v>
      </c>
      <c r="F15" s="8" t="s">
        <v>378</v>
      </c>
    </row>
    <row r="16" spans="1:6">
      <c r="A16" s="8" t="s">
        <v>379</v>
      </c>
      <c r="B16" s="8" t="s">
        <v>360</v>
      </c>
      <c r="C16" s="8" t="s">
        <v>350</v>
      </c>
      <c r="D16" s="8" t="s">
        <v>380</v>
      </c>
      <c r="E16" s="9">
        <v>46312.646423611113</v>
      </c>
      <c r="F16" s="8" t="s">
        <v>402</v>
      </c>
    </row>
    <row r="17" spans="1:6">
      <c r="A17" s="8" t="s">
        <v>381</v>
      </c>
      <c r="B17" s="8" t="s">
        <v>360</v>
      </c>
      <c r="C17" s="8" t="s">
        <v>350</v>
      </c>
      <c r="D17" s="8" t="s">
        <v>382</v>
      </c>
      <c r="E17" s="9">
        <v>46312.64875</v>
      </c>
      <c r="F17" s="8" t="s">
        <v>383</v>
      </c>
    </row>
    <row r="18" spans="1:6">
      <c r="A18" s="8" t="s">
        <v>384</v>
      </c>
      <c r="B18" s="8" t="s">
        <v>360</v>
      </c>
      <c r="C18" s="8" t="s">
        <v>350</v>
      </c>
      <c r="D18" s="8" t="s">
        <v>385</v>
      </c>
      <c r="E18" s="9">
        <v>46312.648993055554</v>
      </c>
      <c r="F18" s="8" t="s">
        <v>386</v>
      </c>
    </row>
    <row r="19" spans="1:6">
      <c r="A19" s="8" t="s">
        <v>387</v>
      </c>
      <c r="B19" s="8" t="s">
        <v>360</v>
      </c>
      <c r="C19" s="8" t="s">
        <v>350</v>
      </c>
      <c r="D19" s="8" t="s">
        <v>388</v>
      </c>
      <c r="E19" s="9">
        <v>46312.649722222224</v>
      </c>
      <c r="F19" s="8" t="s">
        <v>389</v>
      </c>
    </row>
    <row r="20" spans="1:6">
      <c r="A20" s="8" t="s">
        <v>390</v>
      </c>
      <c r="B20" s="8" t="s">
        <v>360</v>
      </c>
      <c r="C20" s="8" t="s">
        <v>350</v>
      </c>
      <c r="D20" s="8" t="s">
        <v>391</v>
      </c>
      <c r="E20" s="9">
        <v>46312.649953703702</v>
      </c>
      <c r="F20" s="8" t="s">
        <v>392</v>
      </c>
    </row>
    <row r="21" spans="1:6">
      <c r="A21" s="8" t="s">
        <v>393</v>
      </c>
      <c r="B21" s="8" t="s">
        <v>360</v>
      </c>
      <c r="C21" s="8" t="s">
        <v>350</v>
      </c>
      <c r="D21" s="8" t="s">
        <v>394</v>
      </c>
      <c r="E21" s="9">
        <v>46312.650520833333</v>
      </c>
      <c r="F21" s="8" t="s">
        <v>395</v>
      </c>
    </row>
    <row r="22" spans="1:6">
      <c r="A22" s="8" t="s">
        <v>396</v>
      </c>
      <c r="B22" s="8" t="s">
        <v>360</v>
      </c>
      <c r="C22" s="8" t="s">
        <v>350</v>
      </c>
      <c r="D22" s="8" t="s">
        <v>397</v>
      </c>
      <c r="E22" s="9">
        <v>46312.668958333335</v>
      </c>
      <c r="F22" s="8" t="s">
        <v>398</v>
      </c>
    </row>
    <row r="23" spans="1:6">
      <c r="A23" s="8" t="s">
        <v>399</v>
      </c>
      <c r="B23" s="8" t="s">
        <v>360</v>
      </c>
      <c r="C23" s="8" t="s">
        <v>350</v>
      </c>
      <c r="D23" s="8" t="s">
        <v>400</v>
      </c>
      <c r="E23" s="9">
        <v>46312.670752314814</v>
      </c>
      <c r="F23" s="8" t="s">
        <v>401</v>
      </c>
    </row>
    <row r="24" spans="1:6" ht="27">
      <c r="A24" s="8" t="s">
        <v>411</v>
      </c>
      <c r="B24" s="8" t="s">
        <v>408</v>
      </c>
      <c r="C24" s="8" t="s">
        <v>350</v>
      </c>
      <c r="D24" s="8" t="s">
        <v>412</v>
      </c>
      <c r="E24" s="9">
        <v>46312.784120370372</v>
      </c>
      <c r="F24" s="8" t="s">
        <v>431</v>
      </c>
    </row>
    <row r="25" spans="1:6" ht="27">
      <c r="A25" s="8" t="s">
        <v>413</v>
      </c>
      <c r="B25" s="8" t="s">
        <v>408</v>
      </c>
      <c r="C25" s="8" t="s">
        <v>350</v>
      </c>
      <c r="D25" s="8" t="s">
        <v>414</v>
      </c>
      <c r="E25" s="9">
        <v>46312.78434027778</v>
      </c>
      <c r="F25" s="8" t="s">
        <v>432</v>
      </c>
    </row>
    <row r="26" spans="1:6" ht="27">
      <c r="A26" s="8" t="s">
        <v>409</v>
      </c>
      <c r="B26" s="8" t="s">
        <v>408</v>
      </c>
      <c r="C26" s="8" t="s">
        <v>415</v>
      </c>
      <c r="D26" s="8" t="s">
        <v>416</v>
      </c>
      <c r="E26" s="9">
        <v>46312.785949074074</v>
      </c>
      <c r="F26" s="8" t="s">
        <v>430</v>
      </c>
    </row>
    <row r="27" spans="1:6" ht="40.5">
      <c r="A27" s="8" t="s">
        <v>417</v>
      </c>
      <c r="B27" s="8" t="s">
        <v>408</v>
      </c>
      <c r="C27" s="8" t="s">
        <v>350</v>
      </c>
      <c r="D27" s="8" t="s">
        <v>418</v>
      </c>
      <c r="E27" s="9">
        <v>46312.786759259259</v>
      </c>
      <c r="F27" s="8" t="s">
        <v>433</v>
      </c>
    </row>
    <row r="28" spans="1:6" ht="27">
      <c r="A28" s="8" t="s">
        <v>419</v>
      </c>
      <c r="B28" s="8" t="s">
        <v>408</v>
      </c>
      <c r="C28" s="8" t="s">
        <v>350</v>
      </c>
      <c r="D28" s="8" t="s">
        <v>420</v>
      </c>
      <c r="E28" s="9">
        <v>46312.78802083333</v>
      </c>
      <c r="F28" s="8" t="s">
        <v>429</v>
      </c>
    </row>
    <row r="29" spans="1:6" ht="27">
      <c r="A29" s="8" t="s">
        <v>421</v>
      </c>
      <c r="B29" s="8" t="s">
        <v>408</v>
      </c>
      <c r="C29" s="8" t="s">
        <v>350</v>
      </c>
      <c r="D29" s="8" t="s">
        <v>422</v>
      </c>
      <c r="E29" s="9">
        <v>46312.788240740738</v>
      </c>
      <c r="F29" s="8" t="s">
        <v>434</v>
      </c>
    </row>
    <row r="30" spans="1:6" ht="27">
      <c r="A30" s="8" t="s">
        <v>423</v>
      </c>
      <c r="B30" s="8" t="s">
        <v>408</v>
      </c>
      <c r="C30" s="8" t="s">
        <v>145</v>
      </c>
      <c r="D30" s="8" t="s">
        <v>424</v>
      </c>
      <c r="E30" s="9">
        <v>46312.785798611112</v>
      </c>
      <c r="F30" s="8" t="s">
        <v>427</v>
      </c>
    </row>
    <row r="31" spans="1:6" ht="27">
      <c r="A31" s="8" t="s">
        <v>425</v>
      </c>
      <c r="B31" s="8" t="s">
        <v>408</v>
      </c>
      <c r="C31" s="8" t="s">
        <v>350</v>
      </c>
      <c r="D31" s="8" t="s">
        <v>426</v>
      </c>
      <c r="E31" s="9">
        <v>46312.788935185185</v>
      </c>
      <c r="F31" s="8" t="s">
        <v>428</v>
      </c>
    </row>
    <row r="32" spans="1:6" ht="27">
      <c r="A32" s="8" t="s">
        <v>440</v>
      </c>
      <c r="B32" s="8" t="s">
        <v>436</v>
      </c>
      <c r="C32" s="8" t="s">
        <v>350</v>
      </c>
      <c r="D32" s="8" t="s">
        <v>441</v>
      </c>
      <c r="E32" s="9">
        <v>46312.805625000001</v>
      </c>
      <c r="F32" s="8" t="s">
        <v>456</v>
      </c>
    </row>
    <row r="33" spans="1:6" ht="27">
      <c r="A33" s="8" t="s">
        <v>442</v>
      </c>
      <c r="B33" s="8" t="s">
        <v>436</v>
      </c>
      <c r="C33" s="8" t="s">
        <v>350</v>
      </c>
      <c r="D33" s="8" t="s">
        <v>443</v>
      </c>
      <c r="E33" s="9">
        <v>46312.80605324074</v>
      </c>
      <c r="F33" s="8" t="s">
        <v>457</v>
      </c>
    </row>
    <row r="34" spans="1:6" ht="40.5">
      <c r="A34" s="8" t="s">
        <v>437</v>
      </c>
      <c r="B34" s="8" t="s">
        <v>436</v>
      </c>
      <c r="C34" s="8" t="s">
        <v>415</v>
      </c>
      <c r="D34" s="8" t="s">
        <v>444</v>
      </c>
      <c r="E34" s="9">
        <v>46312.806527777779</v>
      </c>
      <c r="F34" s="8" t="s">
        <v>458</v>
      </c>
    </row>
    <row r="35" spans="1:6" ht="40.5">
      <c r="A35" s="8" t="s">
        <v>445</v>
      </c>
      <c r="B35" s="8" t="s">
        <v>436</v>
      </c>
      <c r="C35" s="8" t="s">
        <v>350</v>
      </c>
      <c r="D35" s="8" t="s">
        <v>446</v>
      </c>
      <c r="E35" s="9">
        <v>46312.807546296295</v>
      </c>
      <c r="F35" s="8" t="s">
        <v>459</v>
      </c>
    </row>
    <row r="36" spans="1:6" ht="27">
      <c r="A36" s="8" t="s">
        <v>447</v>
      </c>
      <c r="B36" s="8" t="s">
        <v>436</v>
      </c>
      <c r="C36" s="8" t="s">
        <v>350</v>
      </c>
      <c r="D36" s="8" t="s">
        <v>448</v>
      </c>
      <c r="E36" s="9">
        <v>46312.808483796296</v>
      </c>
      <c r="F36" s="8" t="s">
        <v>449</v>
      </c>
    </row>
    <row r="37" spans="1:6" ht="27">
      <c r="A37" s="8" t="s">
        <v>450</v>
      </c>
      <c r="B37" s="8" t="s">
        <v>436</v>
      </c>
      <c r="C37" s="8" t="s">
        <v>350</v>
      </c>
      <c r="D37" s="8" t="s">
        <v>451</v>
      </c>
      <c r="E37" s="9">
        <v>46312.808749999997</v>
      </c>
      <c r="F37" s="8" t="s">
        <v>460</v>
      </c>
    </row>
    <row r="38" spans="1:6" ht="40.5">
      <c r="A38" s="8" t="s">
        <v>452</v>
      </c>
      <c r="B38" s="8" t="s">
        <v>436</v>
      </c>
      <c r="C38" s="8" t="s">
        <v>145</v>
      </c>
      <c r="D38" s="8" t="s">
        <v>453</v>
      </c>
      <c r="E38" s="9">
        <v>46312.806354166663</v>
      </c>
      <c r="F38" s="8" t="s">
        <v>461</v>
      </c>
    </row>
    <row r="39" spans="1:6" ht="27">
      <c r="A39" s="8" t="s">
        <v>454</v>
      </c>
      <c r="B39" s="8" t="s">
        <v>436</v>
      </c>
      <c r="C39" s="8" t="s">
        <v>350</v>
      </c>
      <c r="D39" s="8" t="s">
        <v>455</v>
      </c>
      <c r="E39" s="9">
        <v>46312.807326388887</v>
      </c>
      <c r="F39" s="8" t="s">
        <v>487</v>
      </c>
    </row>
    <row r="40" spans="1:6" ht="27">
      <c r="A40" s="8" t="s">
        <v>466</v>
      </c>
      <c r="B40" s="8" t="s">
        <v>462</v>
      </c>
      <c r="C40" s="8" t="s">
        <v>350</v>
      </c>
      <c r="D40" s="8" t="s">
        <v>467</v>
      </c>
      <c r="E40" s="9">
        <v>46312.817094907405</v>
      </c>
      <c r="F40" s="8" t="s">
        <v>456</v>
      </c>
    </row>
    <row r="41" spans="1:6" ht="40.5">
      <c r="A41" s="8" t="s">
        <v>468</v>
      </c>
      <c r="B41" s="8" t="s">
        <v>462</v>
      </c>
      <c r="C41" s="8" t="s">
        <v>350</v>
      </c>
      <c r="D41" s="8" t="s">
        <v>469</v>
      </c>
      <c r="E41" s="9">
        <v>46312.817361111112</v>
      </c>
      <c r="F41" s="8" t="s">
        <v>481</v>
      </c>
    </row>
    <row r="42" spans="1:6" ht="27">
      <c r="A42" s="8" t="s">
        <v>463</v>
      </c>
      <c r="B42" s="8" t="s">
        <v>462</v>
      </c>
      <c r="C42" s="8" t="s">
        <v>415</v>
      </c>
      <c r="D42" s="8" t="s">
        <v>470</v>
      </c>
      <c r="E42" s="9">
        <v>46312.817800925928</v>
      </c>
      <c r="F42" s="8" t="s">
        <v>482</v>
      </c>
    </row>
    <row r="43" spans="1:6" ht="27">
      <c r="A43" s="8" t="s">
        <v>471</v>
      </c>
      <c r="B43" s="8" t="s">
        <v>462</v>
      </c>
      <c r="C43" s="8" t="s">
        <v>350</v>
      </c>
      <c r="D43" s="8" t="s">
        <v>472</v>
      </c>
      <c r="E43" s="9">
        <v>46312.818645833337</v>
      </c>
      <c r="F43" s="8" t="s">
        <v>483</v>
      </c>
    </row>
    <row r="44" spans="1:6" ht="27">
      <c r="A44" s="8" t="s">
        <v>473</v>
      </c>
      <c r="B44" s="8" t="s">
        <v>462</v>
      </c>
      <c r="C44" s="8" t="s">
        <v>350</v>
      </c>
      <c r="D44" s="8" t="s">
        <v>474</v>
      </c>
      <c r="E44" s="9">
        <v>46312.819444444445</v>
      </c>
      <c r="F44" s="8" t="s">
        <v>484</v>
      </c>
    </row>
    <row r="45" spans="1:6" ht="27">
      <c r="A45" s="8" t="s">
        <v>475</v>
      </c>
      <c r="B45" s="8" t="s">
        <v>462</v>
      </c>
      <c r="C45" s="8" t="s">
        <v>350</v>
      </c>
      <c r="D45" s="8" t="s">
        <v>476</v>
      </c>
      <c r="E45" s="9">
        <v>46312.819641203707</v>
      </c>
      <c r="F45" s="8" t="s">
        <v>460</v>
      </c>
    </row>
    <row r="46" spans="1:6" ht="54">
      <c r="A46" s="8" t="s">
        <v>477</v>
      </c>
      <c r="B46" s="8" t="s">
        <v>462</v>
      </c>
      <c r="C46" s="8" t="s">
        <v>145</v>
      </c>
      <c r="D46" s="8" t="s">
        <v>478</v>
      </c>
      <c r="E46" s="9">
        <v>46312.81763888889</v>
      </c>
      <c r="F46" s="8" t="s">
        <v>485</v>
      </c>
    </row>
    <row r="47" spans="1:6" ht="40.5">
      <c r="A47" s="8" t="s">
        <v>479</v>
      </c>
      <c r="B47" s="8" t="s">
        <v>462</v>
      </c>
      <c r="C47" s="8" t="s">
        <v>350</v>
      </c>
      <c r="D47" s="8" t="s">
        <v>480</v>
      </c>
      <c r="E47" s="9">
        <v>46312.818356481483</v>
      </c>
      <c r="F47" s="8" t="s">
        <v>486</v>
      </c>
    </row>
    <row r="48" spans="1:6" ht="27">
      <c r="A48" s="8" t="s">
        <v>492</v>
      </c>
      <c r="B48" s="8" t="s">
        <v>488</v>
      </c>
      <c r="C48" s="8" t="s">
        <v>350</v>
      </c>
      <c r="D48" s="8" t="s">
        <v>493</v>
      </c>
      <c r="E48" s="9">
        <v>46312.831793981481</v>
      </c>
      <c r="F48" s="8" t="s">
        <v>431</v>
      </c>
    </row>
    <row r="49" spans="1:6" ht="40.5">
      <c r="A49" s="8" t="s">
        <v>494</v>
      </c>
      <c r="B49" s="8" t="s">
        <v>488</v>
      </c>
      <c r="C49" s="8" t="s">
        <v>350</v>
      </c>
      <c r="D49" s="8" t="s">
        <v>495</v>
      </c>
      <c r="E49" s="9">
        <v>46312.832083333335</v>
      </c>
      <c r="F49" s="8" t="s">
        <v>514</v>
      </c>
    </row>
    <row r="50" spans="1:6" ht="54">
      <c r="A50" s="8" t="s">
        <v>496</v>
      </c>
      <c r="B50" s="8" t="s">
        <v>488</v>
      </c>
      <c r="C50" s="8" t="s">
        <v>415</v>
      </c>
      <c r="D50" s="8" t="s">
        <v>497</v>
      </c>
      <c r="E50" s="9">
        <v>46312.833472222221</v>
      </c>
      <c r="F50" s="8" t="s">
        <v>515</v>
      </c>
    </row>
    <row r="51" spans="1:6" ht="27">
      <c r="A51" s="8" t="s">
        <v>498</v>
      </c>
      <c r="B51" s="8" t="s">
        <v>488</v>
      </c>
      <c r="C51" s="8" t="s">
        <v>350</v>
      </c>
      <c r="D51" s="8" t="s">
        <v>499</v>
      </c>
      <c r="E51" s="9">
        <v>46312.834606481483</v>
      </c>
      <c r="F51" s="8" t="s">
        <v>516</v>
      </c>
    </row>
    <row r="52" spans="1:6" ht="27">
      <c r="A52" s="8" t="s">
        <v>500</v>
      </c>
      <c r="B52" s="8" t="s">
        <v>488</v>
      </c>
      <c r="C52" s="8" t="s">
        <v>350</v>
      </c>
      <c r="D52" s="8" t="s">
        <v>501</v>
      </c>
      <c r="E52" s="9">
        <v>46312.834872685184</v>
      </c>
      <c r="F52" s="8" t="s">
        <v>517</v>
      </c>
    </row>
    <row r="53" spans="1:6" ht="40.5">
      <c r="A53" s="8" t="s">
        <v>502</v>
      </c>
      <c r="B53" s="8" t="s">
        <v>488</v>
      </c>
      <c r="C53" s="8" t="s">
        <v>350</v>
      </c>
      <c r="D53" s="8" t="s">
        <v>503</v>
      </c>
      <c r="E53" s="9">
        <v>46312.835370370369</v>
      </c>
      <c r="F53" s="8" t="s">
        <v>518</v>
      </c>
    </row>
    <row r="54" spans="1:6" ht="40.5">
      <c r="A54" s="8" t="s">
        <v>504</v>
      </c>
      <c r="B54" s="8" t="s">
        <v>488</v>
      </c>
      <c r="C54" s="8" t="s">
        <v>415</v>
      </c>
      <c r="D54" s="8" t="s">
        <v>505</v>
      </c>
      <c r="E54" s="9">
        <v>46312.835798611108</v>
      </c>
      <c r="F54" s="8" t="s">
        <v>519</v>
      </c>
    </row>
    <row r="55" spans="1:6" ht="27">
      <c r="A55" s="8" t="s">
        <v>506</v>
      </c>
      <c r="B55" s="8" t="s">
        <v>488</v>
      </c>
      <c r="C55" s="8" t="s">
        <v>350</v>
      </c>
      <c r="D55" s="8" t="s">
        <v>507</v>
      </c>
      <c r="E55" s="9">
        <v>46312.838125000002</v>
      </c>
      <c r="F55" s="8" t="s">
        <v>520</v>
      </c>
    </row>
    <row r="56" spans="1:6">
      <c r="A56" s="8" t="s">
        <v>508</v>
      </c>
      <c r="B56" s="8" t="s">
        <v>488</v>
      </c>
      <c r="C56" s="8" t="s">
        <v>350</v>
      </c>
      <c r="D56" s="8" t="s">
        <v>509</v>
      </c>
      <c r="E56" s="9">
        <v>46312.837210648147</v>
      </c>
      <c r="F56" s="8" t="s">
        <v>510</v>
      </c>
    </row>
    <row r="57" spans="1:6" ht="54">
      <c r="A57" s="8" t="s">
        <v>489</v>
      </c>
      <c r="B57" s="8" t="s">
        <v>488</v>
      </c>
      <c r="C57" s="8" t="s">
        <v>145</v>
      </c>
      <c r="D57" s="8" t="s">
        <v>511</v>
      </c>
      <c r="E57" s="9">
        <v>46312.835636574076</v>
      </c>
      <c r="F57" s="8" t="s">
        <v>521</v>
      </c>
    </row>
    <row r="58" spans="1:6" ht="40.5">
      <c r="A58" s="8" t="s">
        <v>512</v>
      </c>
      <c r="B58" s="8" t="s">
        <v>488</v>
      </c>
      <c r="C58" s="8" t="s">
        <v>350</v>
      </c>
      <c r="D58" s="8" t="s">
        <v>513</v>
      </c>
      <c r="E58" s="9">
        <v>46312.838518518518</v>
      </c>
      <c r="F58" s="8" t="s">
        <v>522</v>
      </c>
    </row>
    <row r="59" spans="1:6" ht="27">
      <c r="A59" s="8" t="s">
        <v>527</v>
      </c>
      <c r="B59" s="8" t="s">
        <v>523</v>
      </c>
      <c r="C59" s="8" t="s">
        <v>350</v>
      </c>
      <c r="D59" s="8" t="s">
        <v>528</v>
      </c>
      <c r="E59" s="9">
        <v>46312.87127314815</v>
      </c>
      <c r="F59" s="8" t="s">
        <v>431</v>
      </c>
    </row>
    <row r="60" spans="1:6" ht="67.5">
      <c r="A60" s="8" t="s">
        <v>524</v>
      </c>
      <c r="B60" s="8" t="s">
        <v>523</v>
      </c>
      <c r="C60" s="8" t="s">
        <v>145</v>
      </c>
      <c r="D60" s="8" t="s">
        <v>529</v>
      </c>
      <c r="E60" s="9">
        <v>46312.872164351851</v>
      </c>
      <c r="F60" s="8" t="s">
        <v>544</v>
      </c>
    </row>
    <row r="61" spans="1:6" ht="54">
      <c r="A61" s="8" t="s">
        <v>530</v>
      </c>
      <c r="B61" s="8" t="s">
        <v>523</v>
      </c>
      <c r="C61" s="8" t="s">
        <v>145</v>
      </c>
      <c r="D61" s="8" t="s">
        <v>531</v>
      </c>
      <c r="E61" s="9">
        <v>46312.872291666667</v>
      </c>
      <c r="F61" s="8" t="s">
        <v>545</v>
      </c>
    </row>
    <row r="62" spans="1:6" ht="40.5">
      <c r="A62" s="8" t="s">
        <v>532</v>
      </c>
      <c r="B62" s="8" t="s">
        <v>523</v>
      </c>
      <c r="C62" s="8" t="s">
        <v>350</v>
      </c>
      <c r="D62" s="8" t="s">
        <v>533</v>
      </c>
      <c r="E62" s="9">
        <v>46312.87332175926</v>
      </c>
      <c r="F62" s="8" t="s">
        <v>546</v>
      </c>
    </row>
    <row r="63" spans="1:6" ht="40.5">
      <c r="A63" s="8" t="s">
        <v>534</v>
      </c>
      <c r="B63" s="8" t="s">
        <v>523</v>
      </c>
      <c r="C63" s="8" t="s">
        <v>350</v>
      </c>
      <c r="D63" s="8" t="s">
        <v>535</v>
      </c>
      <c r="E63" s="9">
        <v>46312.873981481483</v>
      </c>
      <c r="F63" s="8" t="s">
        <v>547</v>
      </c>
    </row>
    <row r="64" spans="1:6" ht="27">
      <c r="A64" s="8" t="s">
        <v>536</v>
      </c>
      <c r="B64" s="8" t="s">
        <v>523</v>
      </c>
      <c r="C64" s="8" t="s">
        <v>350</v>
      </c>
      <c r="D64" s="8" t="s">
        <v>537</v>
      </c>
      <c r="E64" s="9">
        <v>46312.875486111108</v>
      </c>
      <c r="F64" s="8" t="s">
        <v>548</v>
      </c>
    </row>
    <row r="65" spans="1:6" ht="40.5">
      <c r="A65" s="8" t="s">
        <v>538</v>
      </c>
      <c r="B65" s="8" t="s">
        <v>523</v>
      </c>
      <c r="C65" s="8" t="s">
        <v>350</v>
      </c>
      <c r="D65" s="8" t="s">
        <v>539</v>
      </c>
      <c r="E65" s="9">
        <v>46312.877175925925</v>
      </c>
      <c r="F65" s="8" t="s">
        <v>549</v>
      </c>
    </row>
    <row r="66" spans="1:6" ht="27">
      <c r="A66" s="8" t="s">
        <v>540</v>
      </c>
      <c r="B66" s="8" t="s">
        <v>523</v>
      </c>
      <c r="C66" s="8" t="s">
        <v>350</v>
      </c>
      <c r="D66" s="8" t="s">
        <v>541</v>
      </c>
      <c r="E66" s="9">
        <v>46312.877708333333</v>
      </c>
      <c r="F66" s="8" t="s">
        <v>550</v>
      </c>
    </row>
    <row r="67" spans="1:6" ht="54">
      <c r="A67" s="8" t="s">
        <v>542</v>
      </c>
      <c r="B67" s="8" t="s">
        <v>523</v>
      </c>
      <c r="C67" s="8" t="s">
        <v>415</v>
      </c>
      <c r="D67" s="8" t="s">
        <v>543</v>
      </c>
      <c r="E67" s="9">
        <v>46312.874583333331</v>
      </c>
      <c r="F67" s="8" t="s">
        <v>551</v>
      </c>
    </row>
    <row r="68" spans="1:6" ht="40.5">
      <c r="A68" s="8" t="s">
        <v>565</v>
      </c>
      <c r="B68" s="8" t="s">
        <v>552</v>
      </c>
      <c r="C68" s="8" t="s">
        <v>145</v>
      </c>
      <c r="D68" s="8" t="s">
        <v>566</v>
      </c>
      <c r="E68" s="9">
        <v>46313.935729166667</v>
      </c>
      <c r="F68" s="8" t="s">
        <v>590</v>
      </c>
    </row>
    <row r="69" spans="1:6" ht="40.5">
      <c r="A69" s="8" t="s">
        <v>567</v>
      </c>
      <c r="B69" s="8" t="s">
        <v>552</v>
      </c>
      <c r="C69" s="8" t="s">
        <v>145</v>
      </c>
      <c r="D69" s="8" t="s">
        <v>568</v>
      </c>
      <c r="E69" s="9">
        <v>46313.929340277777</v>
      </c>
      <c r="F69" s="8" t="s">
        <v>596</v>
      </c>
    </row>
    <row r="70" spans="1:6" ht="27">
      <c r="A70" s="8" t="s">
        <v>569</v>
      </c>
      <c r="B70" s="8" t="s">
        <v>552</v>
      </c>
      <c r="C70" s="8" t="s">
        <v>350</v>
      </c>
      <c r="D70" s="8" t="s">
        <v>570</v>
      </c>
      <c r="E70" s="9">
        <v>46313.929166666669</v>
      </c>
      <c r="F70" s="8" t="s">
        <v>591</v>
      </c>
    </row>
    <row r="71" spans="1:6" ht="54">
      <c r="A71" s="8" t="s">
        <v>571</v>
      </c>
      <c r="B71" s="8" t="s">
        <v>552</v>
      </c>
      <c r="C71" s="8" t="s">
        <v>350</v>
      </c>
      <c r="D71" s="8" t="s">
        <v>572</v>
      </c>
      <c r="E71" s="9">
        <v>46313.932604166665</v>
      </c>
      <c r="F71" s="8" t="s">
        <v>592</v>
      </c>
    </row>
    <row r="72" spans="1:6" ht="54">
      <c r="A72" s="8" t="s">
        <v>573</v>
      </c>
      <c r="B72" s="8" t="s">
        <v>552</v>
      </c>
      <c r="C72" s="8" t="s">
        <v>350</v>
      </c>
      <c r="D72" s="8" t="s">
        <v>574</v>
      </c>
      <c r="E72" s="9">
        <v>46313.941041666665</v>
      </c>
      <c r="F72" s="8" t="s">
        <v>594</v>
      </c>
    </row>
    <row r="73" spans="1:6">
      <c r="A73" s="8" t="s">
        <v>575</v>
      </c>
      <c r="B73" s="8" t="s">
        <v>552</v>
      </c>
      <c r="C73" s="8" t="s">
        <v>350</v>
      </c>
      <c r="D73" s="8" t="s">
        <v>576</v>
      </c>
      <c r="E73" s="9">
        <v>46313.941747685189</v>
      </c>
      <c r="F73" s="8" t="s">
        <v>577</v>
      </c>
    </row>
    <row r="74" spans="1:6">
      <c r="A74" s="8" t="s">
        <v>578</v>
      </c>
      <c r="B74" s="8" t="s">
        <v>552</v>
      </c>
      <c r="C74" s="8" t="s">
        <v>350</v>
      </c>
      <c r="D74" s="8" t="s">
        <v>579</v>
      </c>
      <c r="E74" s="9">
        <v>46313.942731481482</v>
      </c>
      <c r="F74" s="8" t="s">
        <v>580</v>
      </c>
    </row>
    <row r="75" spans="1:6">
      <c r="A75" s="8" t="s">
        <v>581</v>
      </c>
      <c r="B75" s="8" t="s">
        <v>552</v>
      </c>
      <c r="C75" s="8" t="s">
        <v>350</v>
      </c>
      <c r="D75" s="8" t="s">
        <v>582</v>
      </c>
      <c r="E75" s="9">
        <v>46313.943541666667</v>
      </c>
      <c r="F75" s="8" t="s">
        <v>583</v>
      </c>
    </row>
    <row r="76" spans="1:6">
      <c r="A76" s="8" t="s">
        <v>584</v>
      </c>
      <c r="B76" s="8" t="s">
        <v>552</v>
      </c>
      <c r="C76" s="8" t="s">
        <v>350</v>
      </c>
      <c r="D76" s="8" t="s">
        <v>585</v>
      </c>
      <c r="E76" s="9">
        <v>46313.943715277775</v>
      </c>
      <c r="F76" s="8" t="s">
        <v>586</v>
      </c>
    </row>
    <row r="77" spans="1:6" ht="54">
      <c r="A77" s="8" t="s">
        <v>553</v>
      </c>
      <c r="B77" s="8" t="s">
        <v>552</v>
      </c>
      <c r="C77" s="8" t="s">
        <v>415</v>
      </c>
      <c r="D77" s="8" t="s">
        <v>587</v>
      </c>
      <c r="E77" s="9">
        <v>46313.943819444445</v>
      </c>
      <c r="F77" s="8" t="s">
        <v>593</v>
      </c>
    </row>
    <row r="78" spans="1:6" ht="27">
      <c r="A78" s="8" t="s">
        <v>588</v>
      </c>
      <c r="B78" s="8" t="s">
        <v>552</v>
      </c>
      <c r="C78" s="8" t="s">
        <v>350</v>
      </c>
      <c r="D78" s="8" t="s">
        <v>589</v>
      </c>
      <c r="E78" s="9">
        <v>46313.944745370369</v>
      </c>
      <c r="F78" s="8" t="s">
        <v>595</v>
      </c>
    </row>
    <row r="79" spans="1:6" ht="67.5">
      <c r="A79" s="8" t="s">
        <v>601</v>
      </c>
      <c r="B79" s="8" t="s">
        <v>597</v>
      </c>
      <c r="C79" s="8" t="s">
        <v>145</v>
      </c>
      <c r="D79" s="8" t="s">
        <v>602</v>
      </c>
      <c r="E79" s="9">
        <v>46313.97246527778</v>
      </c>
      <c r="F79" s="8" t="s">
        <v>616</v>
      </c>
    </row>
    <row r="80" spans="1:6" ht="27">
      <c r="A80" s="8" t="s">
        <v>603</v>
      </c>
      <c r="B80" s="8" t="s">
        <v>597</v>
      </c>
      <c r="C80" s="8" t="s">
        <v>350</v>
      </c>
      <c r="D80" s="8" t="s">
        <v>604</v>
      </c>
      <c r="E80" s="9">
        <v>46313.970023148147</v>
      </c>
      <c r="F80" s="8" t="s">
        <v>617</v>
      </c>
    </row>
    <row r="81" spans="1:6" ht="54">
      <c r="A81" s="8" t="s">
        <v>598</v>
      </c>
      <c r="B81" s="8" t="s">
        <v>597</v>
      </c>
      <c r="C81" s="8" t="s">
        <v>415</v>
      </c>
      <c r="D81" s="8" t="s">
        <v>605</v>
      </c>
      <c r="E81" s="9">
        <v>46313.972662037035</v>
      </c>
      <c r="F81" s="8" t="s">
        <v>618</v>
      </c>
    </row>
    <row r="82" spans="1:6" ht="27">
      <c r="A82" s="8" t="s">
        <v>606</v>
      </c>
      <c r="B82" s="8" t="s">
        <v>597</v>
      </c>
      <c r="C82" s="8" t="s">
        <v>350</v>
      </c>
      <c r="D82" s="8" t="s">
        <v>607</v>
      </c>
      <c r="E82" s="9">
        <v>46313.971631944441</v>
      </c>
      <c r="F82" s="8" t="s">
        <v>619</v>
      </c>
    </row>
    <row r="83" spans="1:6" ht="40.5">
      <c r="A83" s="8" t="s">
        <v>608</v>
      </c>
      <c r="B83" s="8" t="s">
        <v>597</v>
      </c>
      <c r="C83" s="8" t="s">
        <v>350</v>
      </c>
      <c r="D83" s="8" t="s">
        <v>609</v>
      </c>
      <c r="E83" s="9">
        <v>46313.972291666665</v>
      </c>
      <c r="F83" s="8" t="s">
        <v>620</v>
      </c>
    </row>
    <row r="84" spans="1:6" ht="27">
      <c r="A84" s="8" t="s">
        <v>610</v>
      </c>
      <c r="B84" s="8" t="s">
        <v>597</v>
      </c>
      <c r="C84" s="8" t="s">
        <v>350</v>
      </c>
      <c r="D84" s="8" t="s">
        <v>611</v>
      </c>
      <c r="E84" s="9">
        <v>46313.973877314813</v>
      </c>
      <c r="F84" s="8" t="s">
        <v>621</v>
      </c>
    </row>
    <row r="85" spans="1:6" ht="40.5">
      <c r="A85" s="8" t="s">
        <v>612</v>
      </c>
      <c r="B85" s="8" t="s">
        <v>597</v>
      </c>
      <c r="C85" s="8" t="s">
        <v>350</v>
      </c>
      <c r="D85" s="8" t="s">
        <v>613</v>
      </c>
      <c r="E85" s="9">
        <v>46313.974606481483</v>
      </c>
      <c r="F85" s="8" t="s">
        <v>622</v>
      </c>
    </row>
    <row r="86" spans="1:6" ht="27">
      <c r="A86" s="8" t="s">
        <v>614</v>
      </c>
      <c r="B86" s="8" t="s">
        <v>597</v>
      </c>
      <c r="C86" s="8" t="s">
        <v>350</v>
      </c>
      <c r="D86" s="8" t="s">
        <v>615</v>
      </c>
      <c r="E86" s="9">
        <v>46313.97515046296</v>
      </c>
      <c r="F86" s="8" t="s">
        <v>623</v>
      </c>
    </row>
    <row r="87" spans="1:6">
      <c r="A87" s="8" t="s">
        <v>629</v>
      </c>
      <c r="B87" s="8" t="s">
        <v>624</v>
      </c>
      <c r="C87" s="8" t="s">
        <v>350</v>
      </c>
      <c r="D87" s="8" t="s">
        <v>630</v>
      </c>
      <c r="E87" s="9">
        <v>46314.655324074076</v>
      </c>
      <c r="F87" s="8" t="s">
        <v>631</v>
      </c>
    </row>
    <row r="88" spans="1:6" ht="67.5">
      <c r="A88" s="8" t="s">
        <v>625</v>
      </c>
      <c r="B88" s="8" t="s">
        <v>624</v>
      </c>
      <c r="C88" s="8" t="s">
        <v>415</v>
      </c>
      <c r="D88" s="8" t="s">
        <v>632</v>
      </c>
      <c r="E88" s="9">
        <v>46314.662905092591</v>
      </c>
      <c r="F88" s="8" t="s">
        <v>656</v>
      </c>
    </row>
    <row r="89" spans="1:6" ht="27">
      <c r="A89" s="8" t="s">
        <v>633</v>
      </c>
      <c r="B89" s="8" t="s">
        <v>624</v>
      </c>
      <c r="C89" s="8" t="s">
        <v>350</v>
      </c>
      <c r="D89" s="8" t="s">
        <v>634</v>
      </c>
      <c r="E89" s="9">
        <v>46314.65587962963</v>
      </c>
      <c r="F89" s="8" t="s">
        <v>657</v>
      </c>
    </row>
    <row r="90" spans="1:6" ht="27">
      <c r="A90" s="8" t="s">
        <v>635</v>
      </c>
      <c r="B90" s="8" t="s">
        <v>624</v>
      </c>
      <c r="C90" s="8" t="s">
        <v>350</v>
      </c>
      <c r="D90" s="8" t="s">
        <v>636</v>
      </c>
      <c r="E90" s="9">
        <v>46314.66505787037</v>
      </c>
      <c r="F90" s="8" t="s">
        <v>658</v>
      </c>
    </row>
    <row r="91" spans="1:6" ht="27">
      <c r="A91" s="8" t="s">
        <v>637</v>
      </c>
      <c r="B91" s="8" t="s">
        <v>624</v>
      </c>
      <c r="C91" s="8" t="s">
        <v>350</v>
      </c>
      <c r="D91" s="8" t="s">
        <v>638</v>
      </c>
      <c r="E91" s="9">
        <v>46314.656284722223</v>
      </c>
      <c r="F91" s="8" t="s">
        <v>659</v>
      </c>
    </row>
    <row r="92" spans="1:6" ht="27">
      <c r="A92" s="8" t="s">
        <v>639</v>
      </c>
      <c r="B92" s="8" t="s">
        <v>624</v>
      </c>
      <c r="C92" s="8" t="s">
        <v>350</v>
      </c>
      <c r="D92" s="8" t="s">
        <v>640</v>
      </c>
      <c r="E92" s="9">
        <v>46314.657094907408</v>
      </c>
      <c r="F92" s="8" t="s">
        <v>660</v>
      </c>
    </row>
    <row r="93" spans="1:6" ht="40.5">
      <c r="A93" s="8" t="s">
        <v>641</v>
      </c>
      <c r="B93" s="8" t="s">
        <v>624</v>
      </c>
      <c r="C93" s="8" t="s">
        <v>350</v>
      </c>
      <c r="D93" s="8" t="s">
        <v>642</v>
      </c>
      <c r="E93" s="9">
        <v>46314.657870370371</v>
      </c>
      <c r="F93" s="8" t="s">
        <v>661</v>
      </c>
    </row>
    <row r="94" spans="1:6" ht="27">
      <c r="A94" s="8" t="s">
        <v>643</v>
      </c>
      <c r="B94" s="8" t="s">
        <v>624</v>
      </c>
      <c r="C94" s="8" t="s">
        <v>350</v>
      </c>
      <c r="D94" s="8" t="s">
        <v>644</v>
      </c>
      <c r="E94" s="9">
        <v>46314.656539351854</v>
      </c>
      <c r="F94" s="8" t="s">
        <v>662</v>
      </c>
    </row>
    <row r="95" spans="1:6" ht="40.5">
      <c r="A95" s="8" t="s">
        <v>645</v>
      </c>
      <c r="B95" s="8" t="s">
        <v>624</v>
      </c>
      <c r="C95" s="8" t="s">
        <v>350</v>
      </c>
      <c r="D95" s="8" t="s">
        <v>646</v>
      </c>
      <c r="E95" s="9">
        <v>46314.656030092592</v>
      </c>
      <c r="F95" s="8" t="s">
        <v>663</v>
      </c>
    </row>
    <row r="96" spans="1:6">
      <c r="A96" s="8" t="s">
        <v>647</v>
      </c>
      <c r="B96" s="8" t="s">
        <v>624</v>
      </c>
      <c r="C96" s="8" t="s">
        <v>350</v>
      </c>
      <c r="D96" s="8" t="s">
        <v>648</v>
      </c>
      <c r="E96" s="9">
        <v>46314.65896990741</v>
      </c>
      <c r="F96" s="8" t="s">
        <v>649</v>
      </c>
    </row>
    <row r="97" spans="1:6" ht="27">
      <c r="A97" s="8" t="s">
        <v>650</v>
      </c>
      <c r="B97" s="8" t="s">
        <v>624</v>
      </c>
      <c r="C97" s="8" t="s">
        <v>350</v>
      </c>
      <c r="D97" s="8" t="s">
        <v>651</v>
      </c>
      <c r="E97" s="9">
        <v>46314.659780092596</v>
      </c>
      <c r="F97" s="8" t="s">
        <v>664</v>
      </c>
    </row>
    <row r="98" spans="1:6" ht="27">
      <c r="A98" s="8" t="s">
        <v>652</v>
      </c>
      <c r="B98" s="8" t="s">
        <v>624</v>
      </c>
      <c r="C98" s="8" t="s">
        <v>350</v>
      </c>
      <c r="D98" s="8" t="s">
        <v>653</v>
      </c>
      <c r="E98" s="9">
        <v>46314.662870370368</v>
      </c>
      <c r="F98" s="8" t="s">
        <v>665</v>
      </c>
    </row>
    <row r="99" spans="1:6" ht="40.5">
      <c r="A99" s="8" t="s">
        <v>654</v>
      </c>
      <c r="B99" s="8" t="s">
        <v>624</v>
      </c>
      <c r="C99" s="8" t="s">
        <v>350</v>
      </c>
      <c r="D99" s="8" t="s">
        <v>655</v>
      </c>
      <c r="E99" s="9">
        <v>46314.670069444444</v>
      </c>
      <c r="F99" s="8" t="s">
        <v>666</v>
      </c>
    </row>
    <row r="100" spans="1:6">
      <c r="A100" s="8" t="s">
        <v>686</v>
      </c>
      <c r="B100" s="8" t="s">
        <v>682</v>
      </c>
      <c r="C100" s="8" t="s">
        <v>350</v>
      </c>
      <c r="D100" s="8" t="s">
        <v>687</v>
      </c>
      <c r="E100" s="9">
        <v>46314.682638888888</v>
      </c>
      <c r="F100" s="8" t="s">
        <v>688</v>
      </c>
    </row>
    <row r="101" spans="1:6" ht="54">
      <c r="A101" s="8" t="s">
        <v>683</v>
      </c>
      <c r="B101" s="8" t="s">
        <v>682</v>
      </c>
      <c r="C101" s="8" t="s">
        <v>415</v>
      </c>
      <c r="D101" s="8" t="s">
        <v>689</v>
      </c>
      <c r="E101" s="9">
        <v>46314.692384259259</v>
      </c>
      <c r="F101" s="8" t="s">
        <v>743</v>
      </c>
    </row>
    <row r="102" spans="1:6" ht="27">
      <c r="A102" s="8" t="s">
        <v>690</v>
      </c>
      <c r="B102" s="8" t="s">
        <v>682</v>
      </c>
      <c r="C102" s="8" t="s">
        <v>350</v>
      </c>
      <c r="D102" s="8" t="s">
        <v>691</v>
      </c>
      <c r="E102" s="9">
        <v>46314.683333333334</v>
      </c>
      <c r="F102" s="8" t="s">
        <v>744</v>
      </c>
    </row>
    <row r="103" spans="1:6">
      <c r="A103" s="8" t="s">
        <v>692</v>
      </c>
      <c r="B103" s="8" t="s">
        <v>682</v>
      </c>
      <c r="C103" s="8" t="s">
        <v>350</v>
      </c>
      <c r="D103" s="8" t="s">
        <v>693</v>
      </c>
      <c r="E103" s="9">
        <v>46314.683657407404</v>
      </c>
      <c r="F103" s="8" t="s">
        <v>694</v>
      </c>
    </row>
    <row r="104" spans="1:6" ht="40.5">
      <c r="A104" s="8" t="s">
        <v>695</v>
      </c>
      <c r="B104" s="8" t="s">
        <v>682</v>
      </c>
      <c r="C104" s="8" t="s">
        <v>350</v>
      </c>
      <c r="D104" s="8" t="s">
        <v>696</v>
      </c>
      <c r="E104" s="9">
        <v>46314.683877314812</v>
      </c>
      <c r="F104" s="8" t="s">
        <v>745</v>
      </c>
    </row>
    <row r="105" spans="1:6" ht="40.5">
      <c r="A105" s="8" t="s">
        <v>697</v>
      </c>
      <c r="B105" s="8" t="s">
        <v>682</v>
      </c>
      <c r="C105" s="8" t="s">
        <v>350</v>
      </c>
      <c r="D105" s="8" t="s">
        <v>698</v>
      </c>
      <c r="E105" s="9">
        <v>46314.689363425925</v>
      </c>
      <c r="F105" s="8" t="s">
        <v>746</v>
      </c>
    </row>
    <row r="106" spans="1:6" ht="27">
      <c r="A106" s="8" t="s">
        <v>699</v>
      </c>
      <c r="B106" s="8" t="s">
        <v>682</v>
      </c>
      <c r="C106" s="8" t="s">
        <v>350</v>
      </c>
      <c r="D106" s="8" t="s">
        <v>700</v>
      </c>
      <c r="E106" s="9">
        <v>46314.689918981479</v>
      </c>
      <c r="F106" s="8" t="s">
        <v>747</v>
      </c>
    </row>
    <row r="107" spans="1:6" ht="27">
      <c r="A107" s="8" t="s">
        <v>701</v>
      </c>
      <c r="B107" s="8" t="s">
        <v>682</v>
      </c>
      <c r="C107" s="8" t="s">
        <v>350</v>
      </c>
      <c r="D107" s="8" t="s">
        <v>702</v>
      </c>
      <c r="E107" s="9">
        <v>46314.691006944442</v>
      </c>
      <c r="F107" s="8" t="s">
        <v>748</v>
      </c>
    </row>
    <row r="108" spans="1:6">
      <c r="A108" s="8" t="s">
        <v>703</v>
      </c>
      <c r="B108" s="8" t="s">
        <v>682</v>
      </c>
      <c r="C108" s="8" t="s">
        <v>350</v>
      </c>
      <c r="D108" s="8" t="s">
        <v>704</v>
      </c>
      <c r="E108" s="9">
        <v>46314.691423611112</v>
      </c>
      <c r="F108" s="8" t="s">
        <v>705</v>
      </c>
    </row>
    <row r="109" spans="1:6">
      <c r="A109" s="8" t="s">
        <v>706</v>
      </c>
      <c r="B109" s="8" t="s">
        <v>682</v>
      </c>
      <c r="C109" s="8" t="s">
        <v>350</v>
      </c>
      <c r="D109" s="8" t="s">
        <v>707</v>
      </c>
      <c r="E109" s="9">
        <v>46314.692280092589</v>
      </c>
      <c r="F109" s="8" t="s">
        <v>708</v>
      </c>
    </row>
    <row r="110" spans="1:6">
      <c r="A110" s="8" t="s">
        <v>709</v>
      </c>
      <c r="B110" s="8" t="s">
        <v>682</v>
      </c>
      <c r="C110" s="8" t="s">
        <v>350</v>
      </c>
      <c r="D110" s="8" t="s">
        <v>710</v>
      </c>
      <c r="E110" s="9">
        <v>46314.696273148147</v>
      </c>
      <c r="F110" s="8" t="s">
        <v>711</v>
      </c>
    </row>
    <row r="111" spans="1:6" ht="54">
      <c r="A111" s="8" t="s">
        <v>712</v>
      </c>
      <c r="B111" s="8" t="s">
        <v>682</v>
      </c>
      <c r="C111" s="8" t="s">
        <v>415</v>
      </c>
      <c r="D111" s="8" t="s">
        <v>713</v>
      </c>
      <c r="E111" s="9">
        <v>46314.698842592596</v>
      </c>
      <c r="F111" s="8" t="s">
        <v>749</v>
      </c>
    </row>
    <row r="112" spans="1:6" ht="27">
      <c r="A112" s="8" t="s">
        <v>714</v>
      </c>
      <c r="B112" s="8" t="s">
        <v>682</v>
      </c>
      <c r="C112" s="8" t="s">
        <v>350</v>
      </c>
      <c r="D112" s="8" t="s">
        <v>715</v>
      </c>
      <c r="E112" s="9">
        <v>46314.696828703702</v>
      </c>
      <c r="F112" s="8" t="s">
        <v>750</v>
      </c>
    </row>
    <row r="113" spans="1:6" ht="27">
      <c r="A113" s="8" t="s">
        <v>716</v>
      </c>
      <c r="B113" s="8" t="s">
        <v>682</v>
      </c>
      <c r="C113" s="8" t="s">
        <v>350</v>
      </c>
      <c r="D113" s="8" t="s">
        <v>717</v>
      </c>
      <c r="E113" s="9">
        <v>46314.697141203702</v>
      </c>
      <c r="F113" s="8" t="s">
        <v>751</v>
      </c>
    </row>
    <row r="114" spans="1:6" ht="27">
      <c r="A114" s="8" t="s">
        <v>718</v>
      </c>
      <c r="B114" s="8" t="s">
        <v>682</v>
      </c>
      <c r="C114" s="8" t="s">
        <v>350</v>
      </c>
      <c r="D114" s="8" t="s">
        <v>719</v>
      </c>
      <c r="E114" s="9">
        <v>46314.697291666664</v>
      </c>
      <c r="F114" s="8" t="s">
        <v>752</v>
      </c>
    </row>
    <row r="115" spans="1:6" ht="27">
      <c r="A115" s="8" t="s">
        <v>720</v>
      </c>
      <c r="B115" s="8" t="s">
        <v>682</v>
      </c>
      <c r="C115" s="8" t="s">
        <v>350</v>
      </c>
      <c r="D115" s="8" t="s">
        <v>721</v>
      </c>
      <c r="E115" s="9">
        <v>46314.697615740741</v>
      </c>
      <c r="F115" s="8" t="s">
        <v>753</v>
      </c>
    </row>
    <row r="116" spans="1:6">
      <c r="A116" s="8" t="s">
        <v>722</v>
      </c>
      <c r="B116" s="8" t="s">
        <v>682</v>
      </c>
      <c r="C116" s="8" t="s">
        <v>350</v>
      </c>
      <c r="D116" s="8" t="s">
        <v>723</v>
      </c>
      <c r="E116" s="9">
        <v>46314.698206018518</v>
      </c>
      <c r="F116" s="8" t="s">
        <v>724</v>
      </c>
    </row>
    <row r="117" spans="1:6">
      <c r="A117" s="8" t="s">
        <v>725</v>
      </c>
      <c r="B117" s="8" t="s">
        <v>682</v>
      </c>
      <c r="C117" s="8" t="s">
        <v>350</v>
      </c>
      <c r="D117" s="8" t="s">
        <v>726</v>
      </c>
      <c r="E117" s="9">
        <v>46314.698784722219</v>
      </c>
      <c r="F117" s="8" t="s">
        <v>727</v>
      </c>
    </row>
    <row r="118" spans="1:6">
      <c r="A118" s="8" t="s">
        <v>728</v>
      </c>
      <c r="B118" s="8" t="s">
        <v>682</v>
      </c>
      <c r="C118" s="8" t="s">
        <v>350</v>
      </c>
      <c r="D118" s="8" t="s">
        <v>729</v>
      </c>
      <c r="E118" s="9">
        <v>46314.69971064815</v>
      </c>
      <c r="F118" s="8" t="s">
        <v>730</v>
      </c>
    </row>
    <row r="119" spans="1:6" ht="67.5">
      <c r="A119" s="8" t="s">
        <v>731</v>
      </c>
      <c r="B119" s="8" t="s">
        <v>682</v>
      </c>
      <c r="C119" s="8" t="s">
        <v>415</v>
      </c>
      <c r="D119" s="8" t="s">
        <v>732</v>
      </c>
      <c r="E119" s="9">
        <v>46314.702939814815</v>
      </c>
      <c r="F119" s="8" t="s">
        <v>754</v>
      </c>
    </row>
    <row r="120" spans="1:6" ht="27">
      <c r="A120" s="8" t="s">
        <v>733</v>
      </c>
      <c r="B120" s="8" t="s">
        <v>682</v>
      </c>
      <c r="C120" s="8" t="s">
        <v>350</v>
      </c>
      <c r="D120" s="8" t="s">
        <v>734</v>
      </c>
      <c r="E120" s="9">
        <v>46314.70140046296</v>
      </c>
      <c r="F120" s="8" t="s">
        <v>755</v>
      </c>
    </row>
    <row r="121" spans="1:6" ht="40.5">
      <c r="A121" s="8" t="s">
        <v>735</v>
      </c>
      <c r="B121" s="8" t="s">
        <v>682</v>
      </c>
      <c r="C121" s="8" t="s">
        <v>350</v>
      </c>
      <c r="D121" s="8" t="s">
        <v>736</v>
      </c>
      <c r="E121" s="9">
        <v>46314.701574074075</v>
      </c>
      <c r="F121" s="8" t="s">
        <v>756</v>
      </c>
    </row>
    <row r="122" spans="1:6" ht="27">
      <c r="A122" s="8" t="s">
        <v>737</v>
      </c>
      <c r="B122" s="8" t="s">
        <v>682</v>
      </c>
      <c r="C122" s="8" t="s">
        <v>350</v>
      </c>
      <c r="D122" s="8" t="s">
        <v>738</v>
      </c>
      <c r="E122" s="9">
        <v>46314.702141203707</v>
      </c>
      <c r="F122" s="8" t="s">
        <v>757</v>
      </c>
    </row>
    <row r="123" spans="1:6" ht="27">
      <c r="A123" s="8" t="s">
        <v>739</v>
      </c>
      <c r="B123" s="8" t="s">
        <v>682</v>
      </c>
      <c r="C123" s="8" t="s">
        <v>350</v>
      </c>
      <c r="D123" s="8" t="s">
        <v>740</v>
      </c>
      <c r="E123" s="9">
        <v>46314.702615740738</v>
      </c>
      <c r="F123" s="8" t="s">
        <v>758</v>
      </c>
    </row>
    <row r="124" spans="1:6">
      <c r="A124" s="8" t="s">
        <v>741</v>
      </c>
      <c r="B124" s="8" t="s">
        <v>682</v>
      </c>
      <c r="C124" s="8" t="s">
        <v>350</v>
      </c>
      <c r="D124" s="8" t="s">
        <v>742</v>
      </c>
      <c r="E124" s="9">
        <v>46314.702870370369</v>
      </c>
      <c r="F124" s="8" t="s">
        <v>705</v>
      </c>
    </row>
    <row r="125" spans="1:6" ht="27">
      <c r="A125" s="8" t="s">
        <v>763</v>
      </c>
      <c r="B125" s="8" t="s">
        <v>759</v>
      </c>
      <c r="C125" s="8" t="s">
        <v>350</v>
      </c>
      <c r="D125" s="8" t="s">
        <v>764</v>
      </c>
      <c r="E125" s="9">
        <v>46315.681226851855</v>
      </c>
      <c r="F125" s="8" t="s">
        <v>783</v>
      </c>
    </row>
    <row r="126" spans="1:6" ht="54">
      <c r="A126" s="8" t="s">
        <v>760</v>
      </c>
      <c r="B126" s="8" t="s">
        <v>759</v>
      </c>
      <c r="C126" s="8" t="s">
        <v>415</v>
      </c>
      <c r="D126" s="8" t="s">
        <v>765</v>
      </c>
      <c r="E126" s="9">
        <v>46315.694039351853</v>
      </c>
      <c r="F126" s="8" t="s">
        <v>784</v>
      </c>
    </row>
    <row r="127" spans="1:6" ht="40.5">
      <c r="A127" s="8" t="s">
        <v>766</v>
      </c>
      <c r="B127" s="8" t="s">
        <v>759</v>
      </c>
      <c r="C127" s="8" t="s">
        <v>145</v>
      </c>
      <c r="D127" s="8" t="s">
        <v>767</v>
      </c>
      <c r="E127" s="9">
        <v>46315.689652777779</v>
      </c>
      <c r="F127" s="8" t="s">
        <v>785</v>
      </c>
    </row>
    <row r="128" spans="1:6" ht="40.5">
      <c r="A128" s="8" t="s">
        <v>768</v>
      </c>
      <c r="B128" s="8" t="s">
        <v>759</v>
      </c>
      <c r="C128" s="8" t="s">
        <v>350</v>
      </c>
      <c r="D128" s="8" t="s">
        <v>769</v>
      </c>
      <c r="E128" s="9">
        <v>46315.690995370373</v>
      </c>
      <c r="F128" s="8" t="s">
        <v>786</v>
      </c>
    </row>
    <row r="129" spans="1:6" ht="27">
      <c r="A129" s="8" t="s">
        <v>770</v>
      </c>
      <c r="B129" s="8" t="s">
        <v>759</v>
      </c>
      <c r="C129" s="8" t="s">
        <v>350</v>
      </c>
      <c r="D129" s="8" t="s">
        <v>771</v>
      </c>
      <c r="E129" s="9">
        <v>46315.69153935185</v>
      </c>
      <c r="F129" s="8" t="s">
        <v>787</v>
      </c>
    </row>
    <row r="130" spans="1:6" ht="27">
      <c r="A130" s="8" t="s">
        <v>772</v>
      </c>
      <c r="B130" s="8" t="s">
        <v>759</v>
      </c>
      <c r="C130" s="8" t="s">
        <v>350</v>
      </c>
      <c r="D130" s="8" t="s">
        <v>773</v>
      </c>
      <c r="E130" s="9">
        <v>46315.691770833335</v>
      </c>
      <c r="F130" s="8" t="s">
        <v>788</v>
      </c>
    </row>
    <row r="131" spans="1:6" ht="27">
      <c r="A131" s="8" t="s">
        <v>774</v>
      </c>
      <c r="B131" s="8" t="s">
        <v>759</v>
      </c>
      <c r="C131" s="8" t="s">
        <v>350</v>
      </c>
      <c r="D131" s="8" t="s">
        <v>775</v>
      </c>
      <c r="E131" s="9">
        <v>46315.692523148151</v>
      </c>
      <c r="F131" s="8" t="s">
        <v>789</v>
      </c>
    </row>
    <row r="132" spans="1:6">
      <c r="A132" s="8" t="s">
        <v>776</v>
      </c>
      <c r="B132" s="8" t="s">
        <v>759</v>
      </c>
      <c r="C132" s="8" t="s">
        <v>350</v>
      </c>
      <c r="D132" s="8" t="s">
        <v>777</v>
      </c>
      <c r="E132" s="9">
        <v>46315.692673611113</v>
      </c>
      <c r="F132" s="8" t="s">
        <v>778</v>
      </c>
    </row>
    <row r="133" spans="1:6" ht="27">
      <c r="A133" s="8" t="s">
        <v>779</v>
      </c>
      <c r="B133" s="8" t="s">
        <v>759</v>
      </c>
      <c r="C133" s="8" t="s">
        <v>350</v>
      </c>
      <c r="D133" s="8" t="s">
        <v>780</v>
      </c>
      <c r="E133" s="9">
        <v>46315.693807870368</v>
      </c>
      <c r="F133" s="8" t="s">
        <v>790</v>
      </c>
    </row>
    <row r="134" spans="1:6" ht="27">
      <c r="A134" s="8" t="s">
        <v>781</v>
      </c>
      <c r="B134" s="8" t="s">
        <v>759</v>
      </c>
      <c r="C134" s="8" t="s">
        <v>350</v>
      </c>
      <c r="D134" s="8" t="s">
        <v>782</v>
      </c>
      <c r="E134" s="9">
        <v>46315.693923611114</v>
      </c>
      <c r="F134" s="8" t="s">
        <v>791</v>
      </c>
    </row>
    <row r="135" spans="1:6" ht="40.5">
      <c r="A135" s="8" t="s">
        <v>796</v>
      </c>
      <c r="B135" s="8" t="s">
        <v>792</v>
      </c>
      <c r="C135" s="8" t="s">
        <v>350</v>
      </c>
      <c r="D135" s="8" t="s">
        <v>797</v>
      </c>
      <c r="E135" s="9">
        <v>46315.723738425928</v>
      </c>
      <c r="F135" s="8" t="s">
        <v>819</v>
      </c>
    </row>
    <row r="136" spans="1:6" ht="40.5">
      <c r="A136" s="8" t="s">
        <v>798</v>
      </c>
      <c r="B136" s="8" t="s">
        <v>792</v>
      </c>
      <c r="C136" s="8" t="s">
        <v>350</v>
      </c>
      <c r="D136" s="8" t="s">
        <v>799</v>
      </c>
      <c r="E136" s="9">
        <v>46315.724398148152</v>
      </c>
      <c r="F136" s="8" t="s">
        <v>820</v>
      </c>
    </row>
    <row r="137" spans="1:6" ht="67.5">
      <c r="A137" s="8" t="s">
        <v>793</v>
      </c>
      <c r="B137" s="8" t="s">
        <v>792</v>
      </c>
      <c r="C137" s="8" t="s">
        <v>415</v>
      </c>
      <c r="D137" s="8" t="s">
        <v>800</v>
      </c>
      <c r="E137" s="9">
        <v>46315.73101851852</v>
      </c>
      <c r="F137" s="8" t="s">
        <v>821</v>
      </c>
    </row>
    <row r="138" spans="1:6" ht="27">
      <c r="A138" s="8" t="s">
        <v>801</v>
      </c>
      <c r="B138" s="8" t="s">
        <v>792</v>
      </c>
      <c r="C138" s="8" t="s">
        <v>350</v>
      </c>
      <c r="D138" s="8" t="s">
        <v>802</v>
      </c>
      <c r="E138" s="9">
        <v>46315.725416666668</v>
      </c>
      <c r="F138" s="8" t="s">
        <v>822</v>
      </c>
    </row>
    <row r="139" spans="1:6" ht="27">
      <c r="A139" s="8" t="s">
        <v>803</v>
      </c>
      <c r="B139" s="8" t="s">
        <v>792</v>
      </c>
      <c r="C139" s="8" t="s">
        <v>350</v>
      </c>
      <c r="D139" s="8" t="s">
        <v>804</v>
      </c>
      <c r="E139" s="9">
        <v>46315.725775462961</v>
      </c>
      <c r="F139" s="8" t="s">
        <v>823</v>
      </c>
    </row>
    <row r="140" spans="1:6" ht="27">
      <c r="A140" s="8" t="s">
        <v>805</v>
      </c>
      <c r="B140" s="8" t="s">
        <v>792</v>
      </c>
      <c r="C140" s="8" t="s">
        <v>350</v>
      </c>
      <c r="D140" s="8" t="s">
        <v>806</v>
      </c>
      <c r="E140" s="9">
        <v>46315.728310185186</v>
      </c>
      <c r="F140" s="8" t="s">
        <v>824</v>
      </c>
    </row>
    <row r="141" spans="1:6" ht="40.5">
      <c r="A141" s="8" t="s">
        <v>807</v>
      </c>
      <c r="B141" s="8" t="s">
        <v>792</v>
      </c>
      <c r="C141" s="8" t="s">
        <v>350</v>
      </c>
      <c r="D141" s="8" t="s">
        <v>808</v>
      </c>
      <c r="E141" s="9">
        <v>46315.728865740741</v>
      </c>
      <c r="F141" s="8" t="s">
        <v>825</v>
      </c>
    </row>
    <row r="142" spans="1:6" ht="27">
      <c r="A142" s="8" t="s">
        <v>809</v>
      </c>
      <c r="B142" s="8" t="s">
        <v>792</v>
      </c>
      <c r="C142" s="8" t="s">
        <v>350</v>
      </c>
      <c r="D142" s="8" t="s">
        <v>810</v>
      </c>
      <c r="E142" s="9">
        <v>46315.729050925926</v>
      </c>
      <c r="F142" s="8" t="s">
        <v>826</v>
      </c>
    </row>
    <row r="143" spans="1:6" ht="54">
      <c r="A143" s="8" t="s">
        <v>811</v>
      </c>
      <c r="B143" s="8" t="s">
        <v>792</v>
      </c>
      <c r="C143" s="8" t="s">
        <v>350</v>
      </c>
      <c r="D143" s="8" t="s">
        <v>812</v>
      </c>
      <c r="E143" s="9">
        <v>46315.729305555556</v>
      </c>
      <c r="F143" s="8" t="s">
        <v>827</v>
      </c>
    </row>
    <row r="144" spans="1:6" ht="27">
      <c r="A144" s="8" t="s">
        <v>813</v>
      </c>
      <c r="B144" s="8" t="s">
        <v>792</v>
      </c>
      <c r="C144" s="8" t="s">
        <v>350</v>
      </c>
      <c r="D144" s="8" t="s">
        <v>814</v>
      </c>
      <c r="E144" s="9">
        <v>46315.729780092595</v>
      </c>
      <c r="F144" s="8" t="s">
        <v>828</v>
      </c>
    </row>
    <row r="145" spans="1:6" ht="27">
      <c r="A145" s="8" t="s">
        <v>815</v>
      </c>
      <c r="B145" s="8" t="s">
        <v>792</v>
      </c>
      <c r="C145" s="8" t="s">
        <v>350</v>
      </c>
      <c r="D145" s="8" t="s">
        <v>816</v>
      </c>
      <c r="E145" s="9">
        <v>46315.730185185188</v>
      </c>
      <c r="F145" s="8" t="s">
        <v>829</v>
      </c>
    </row>
    <row r="146" spans="1:6" ht="27">
      <c r="A146" s="8" t="s">
        <v>817</v>
      </c>
      <c r="B146" s="8" t="s">
        <v>792</v>
      </c>
      <c r="C146" s="8" t="s">
        <v>350</v>
      </c>
      <c r="D146" s="8" t="s">
        <v>818</v>
      </c>
      <c r="E146" s="9">
        <v>46315.730949074074</v>
      </c>
      <c r="F146" s="8" t="s">
        <v>830</v>
      </c>
    </row>
    <row r="147" spans="1:6">
      <c r="A147" s="8" t="s">
        <v>835</v>
      </c>
      <c r="B147" s="8" t="s">
        <v>831</v>
      </c>
      <c r="C147" s="8" t="s">
        <v>350</v>
      </c>
      <c r="D147" s="8" t="s">
        <v>836</v>
      </c>
      <c r="E147" s="9">
        <v>46315.741030092591</v>
      </c>
      <c r="F147" s="8" t="s">
        <v>837</v>
      </c>
    </row>
    <row r="148" spans="1:6" ht="27">
      <c r="A148" s="8" t="s">
        <v>838</v>
      </c>
      <c r="B148" s="8" t="s">
        <v>831</v>
      </c>
      <c r="C148" s="8" t="s">
        <v>350</v>
      </c>
      <c r="D148" s="8" t="s">
        <v>839</v>
      </c>
      <c r="E148" s="9">
        <v>46315.741886574076</v>
      </c>
      <c r="F148" s="8" t="s">
        <v>878</v>
      </c>
    </row>
    <row r="149" spans="1:6">
      <c r="A149" s="8" t="s">
        <v>840</v>
      </c>
      <c r="B149" s="8" t="s">
        <v>831</v>
      </c>
      <c r="C149" s="8" t="s">
        <v>350</v>
      </c>
      <c r="D149" s="8" t="s">
        <v>841</v>
      </c>
      <c r="E149" s="9">
        <v>46315.742245370369</v>
      </c>
      <c r="F149" s="8" t="s">
        <v>842</v>
      </c>
    </row>
    <row r="150" spans="1:6" ht="67.5">
      <c r="A150" s="8" t="s">
        <v>832</v>
      </c>
      <c r="B150" s="8" t="s">
        <v>831</v>
      </c>
      <c r="C150" s="8" t="s">
        <v>415</v>
      </c>
      <c r="D150" s="8" t="s">
        <v>843</v>
      </c>
      <c r="E150" s="9">
        <v>46315.751759259256</v>
      </c>
      <c r="F150" s="8" t="s">
        <v>879</v>
      </c>
    </row>
    <row r="151" spans="1:6" ht="27">
      <c r="A151" s="8" t="s">
        <v>844</v>
      </c>
      <c r="B151" s="8" t="s">
        <v>831</v>
      </c>
      <c r="C151" s="8" t="s">
        <v>350</v>
      </c>
      <c r="D151" s="8" t="s">
        <v>845</v>
      </c>
      <c r="E151" s="9">
        <v>46315.747083333335</v>
      </c>
      <c r="F151" s="8" t="s">
        <v>880</v>
      </c>
    </row>
    <row r="152" spans="1:6">
      <c r="A152" s="8" t="s">
        <v>846</v>
      </c>
      <c r="B152" s="8" t="s">
        <v>831</v>
      </c>
      <c r="C152" s="8" t="s">
        <v>350</v>
      </c>
      <c r="D152" s="8" t="s">
        <v>847</v>
      </c>
      <c r="E152" s="9">
        <v>46315.743310185186</v>
      </c>
      <c r="F152" s="8" t="s">
        <v>848</v>
      </c>
    </row>
    <row r="153" spans="1:6" ht="40.5">
      <c r="A153" s="8" t="s">
        <v>849</v>
      </c>
      <c r="B153" s="8" t="s">
        <v>831</v>
      </c>
      <c r="C153" s="8" t="s">
        <v>350</v>
      </c>
      <c r="D153" s="8" t="s">
        <v>850</v>
      </c>
      <c r="E153" s="9">
        <v>46315.747453703705</v>
      </c>
      <c r="F153" s="8" t="s">
        <v>881</v>
      </c>
    </row>
    <row r="154" spans="1:6" ht="40.5">
      <c r="A154" s="8" t="s">
        <v>851</v>
      </c>
      <c r="B154" s="8" t="s">
        <v>831</v>
      </c>
      <c r="C154" s="8" t="s">
        <v>350</v>
      </c>
      <c r="D154" s="8" t="s">
        <v>852</v>
      </c>
      <c r="E154" s="9">
        <v>46315.747800925928</v>
      </c>
      <c r="F154" s="8" t="s">
        <v>882</v>
      </c>
    </row>
    <row r="155" spans="1:6" ht="40.5">
      <c r="A155" s="8" t="s">
        <v>853</v>
      </c>
      <c r="B155" s="8" t="s">
        <v>831</v>
      </c>
      <c r="C155" s="8" t="s">
        <v>350</v>
      </c>
      <c r="D155" s="8" t="s">
        <v>854</v>
      </c>
      <c r="E155" s="9">
        <v>46315.748182870368</v>
      </c>
      <c r="F155" s="8" t="s">
        <v>883</v>
      </c>
    </row>
    <row r="156" spans="1:6">
      <c r="A156" s="8" t="s">
        <v>855</v>
      </c>
      <c r="B156" s="8" t="s">
        <v>831</v>
      </c>
      <c r="C156" s="8" t="s">
        <v>350</v>
      </c>
      <c r="D156" s="8" t="s">
        <v>856</v>
      </c>
      <c r="E156" s="9">
        <v>46315.748391203706</v>
      </c>
      <c r="F156" s="8" t="s">
        <v>857</v>
      </c>
    </row>
    <row r="157" spans="1:6" ht="54">
      <c r="A157" s="8" t="s">
        <v>858</v>
      </c>
      <c r="B157" s="8" t="s">
        <v>831</v>
      </c>
      <c r="C157" s="8" t="s">
        <v>350</v>
      </c>
      <c r="D157" s="8" t="s">
        <v>859</v>
      </c>
      <c r="E157" s="9">
        <v>46315.748668981483</v>
      </c>
      <c r="F157" s="8" t="s">
        <v>884</v>
      </c>
    </row>
    <row r="158" spans="1:6" ht="27">
      <c r="A158" s="8" t="s">
        <v>860</v>
      </c>
      <c r="B158" s="8" t="s">
        <v>831</v>
      </c>
      <c r="C158" s="8" t="s">
        <v>350</v>
      </c>
      <c r="D158" s="8" t="s">
        <v>861</v>
      </c>
      <c r="E158" s="9">
        <v>46315.749502314815</v>
      </c>
      <c r="F158" s="8" t="s">
        <v>885</v>
      </c>
    </row>
    <row r="159" spans="1:6">
      <c r="A159" s="8" t="s">
        <v>862</v>
      </c>
      <c r="B159" s="8" t="s">
        <v>831</v>
      </c>
      <c r="C159" s="8" t="s">
        <v>350</v>
      </c>
      <c r="D159" s="8" t="s">
        <v>863</v>
      </c>
      <c r="E159" s="9">
        <v>46315.749074074076</v>
      </c>
      <c r="F159" s="8" t="s">
        <v>864</v>
      </c>
    </row>
    <row r="160" spans="1:6" ht="27">
      <c r="A160" s="8" t="s">
        <v>865</v>
      </c>
      <c r="B160" s="8" t="s">
        <v>831</v>
      </c>
      <c r="C160" s="8" t="s">
        <v>350</v>
      </c>
      <c r="D160" s="8" t="s">
        <v>866</v>
      </c>
      <c r="E160" s="9">
        <v>46315.750231481485</v>
      </c>
      <c r="F160" s="8" t="s">
        <v>886</v>
      </c>
    </row>
    <row r="161" spans="1:6">
      <c r="A161" s="8" t="s">
        <v>867</v>
      </c>
      <c r="B161" s="8" t="s">
        <v>831</v>
      </c>
      <c r="C161" s="8" t="s">
        <v>350</v>
      </c>
      <c r="D161" s="8" t="s">
        <v>868</v>
      </c>
      <c r="E161" s="9">
        <v>46315.750393518516</v>
      </c>
      <c r="F161" s="8" t="s">
        <v>869</v>
      </c>
    </row>
    <row r="162" spans="1:6" ht="27">
      <c r="A162" s="8" t="s">
        <v>870</v>
      </c>
      <c r="B162" s="8" t="s">
        <v>831</v>
      </c>
      <c r="C162" s="8" t="s">
        <v>350</v>
      </c>
      <c r="D162" s="8" t="s">
        <v>871</v>
      </c>
      <c r="E162" s="9">
        <v>46315.75105324074</v>
      </c>
      <c r="F162" s="8" t="s">
        <v>887</v>
      </c>
    </row>
    <row r="163" spans="1:6">
      <c r="A163" s="8" t="s">
        <v>872</v>
      </c>
      <c r="B163" s="8" t="s">
        <v>831</v>
      </c>
      <c r="C163" s="8" t="s">
        <v>350</v>
      </c>
      <c r="D163" s="8" t="s">
        <v>873</v>
      </c>
      <c r="E163" s="9">
        <v>46315.751655092594</v>
      </c>
      <c r="F163" s="8" t="s">
        <v>874</v>
      </c>
    </row>
    <row r="164" spans="1:6">
      <c r="A164" s="8" t="s">
        <v>875</v>
      </c>
      <c r="B164" s="8" t="s">
        <v>831</v>
      </c>
      <c r="C164" s="8" t="s">
        <v>350</v>
      </c>
      <c r="D164" s="8" t="s">
        <v>876</v>
      </c>
      <c r="E164" s="9">
        <v>46315.751250000001</v>
      </c>
      <c r="F164" s="8" t="s">
        <v>877</v>
      </c>
    </row>
    <row r="165" spans="1:6">
      <c r="A165" s="8" t="s">
        <v>892</v>
      </c>
      <c r="B165" s="8" t="s">
        <v>888</v>
      </c>
      <c r="C165" s="8" t="s">
        <v>350</v>
      </c>
      <c r="D165" s="8" t="s">
        <v>893</v>
      </c>
      <c r="E165" s="9">
        <v>46315.821840277778</v>
      </c>
      <c r="F165" s="8" t="s">
        <v>894</v>
      </c>
    </row>
    <row r="166" spans="1:6">
      <c r="A166" s="8" t="s">
        <v>895</v>
      </c>
      <c r="B166" s="8" t="s">
        <v>888</v>
      </c>
      <c r="C166" s="8" t="s">
        <v>350</v>
      </c>
      <c r="D166" s="8" t="s">
        <v>896</v>
      </c>
      <c r="E166" s="9">
        <v>46315.822789351849</v>
      </c>
      <c r="F166" s="8" t="s">
        <v>897</v>
      </c>
    </row>
    <row r="167" spans="1:6">
      <c r="A167" s="8" t="s">
        <v>898</v>
      </c>
      <c r="B167" s="8" t="s">
        <v>888</v>
      </c>
      <c r="C167" s="8" t="s">
        <v>350</v>
      </c>
      <c r="D167" s="8" t="s">
        <v>899</v>
      </c>
      <c r="E167" s="9">
        <v>46315.822881944441</v>
      </c>
      <c r="F167" s="8" t="s">
        <v>900</v>
      </c>
    </row>
    <row r="168" spans="1:6" ht="27">
      <c r="A168" s="8" t="s">
        <v>901</v>
      </c>
      <c r="B168" s="8" t="s">
        <v>888</v>
      </c>
      <c r="C168" s="8" t="s">
        <v>350</v>
      </c>
      <c r="D168" s="8" t="s">
        <v>902</v>
      </c>
      <c r="E168" s="9">
        <v>46315.824212962965</v>
      </c>
      <c r="F168" s="8" t="s">
        <v>944</v>
      </c>
    </row>
    <row r="169" spans="1:6">
      <c r="A169" s="8" t="s">
        <v>903</v>
      </c>
      <c r="B169" s="8" t="s">
        <v>888</v>
      </c>
      <c r="C169" s="8" t="s">
        <v>350</v>
      </c>
      <c r="D169" s="8" t="s">
        <v>904</v>
      </c>
      <c r="E169" s="9">
        <v>46315.826319444444</v>
      </c>
      <c r="F169" s="8" t="s">
        <v>905</v>
      </c>
    </row>
    <row r="170" spans="1:6" ht="27">
      <c r="A170" s="8" t="s">
        <v>906</v>
      </c>
      <c r="B170" s="8" t="s">
        <v>888</v>
      </c>
      <c r="C170" s="8" t="s">
        <v>350</v>
      </c>
      <c r="D170" s="8" t="s">
        <v>907</v>
      </c>
      <c r="E170" s="9">
        <v>46315.826747685183</v>
      </c>
      <c r="F170" s="8" t="s">
        <v>947</v>
      </c>
    </row>
    <row r="171" spans="1:6">
      <c r="A171" s="8" t="s">
        <v>908</v>
      </c>
      <c r="B171" s="8" t="s">
        <v>888</v>
      </c>
      <c r="C171" s="8" t="s">
        <v>350</v>
      </c>
      <c r="D171" s="8" t="s">
        <v>909</v>
      </c>
      <c r="E171" s="9">
        <v>46315.826874999999</v>
      </c>
      <c r="F171" s="8" t="s">
        <v>910</v>
      </c>
    </row>
    <row r="172" spans="1:6">
      <c r="A172" s="8" t="s">
        <v>911</v>
      </c>
      <c r="B172" s="8" t="s">
        <v>888</v>
      </c>
      <c r="C172" s="8" t="s">
        <v>350</v>
      </c>
      <c r="D172" s="8" t="s">
        <v>912</v>
      </c>
      <c r="E172" s="9">
        <v>46315.827233796299</v>
      </c>
      <c r="F172" s="8" t="s">
        <v>945</v>
      </c>
    </row>
    <row r="173" spans="1:6">
      <c r="A173" s="8" t="s">
        <v>913</v>
      </c>
      <c r="B173" s="8" t="s">
        <v>888</v>
      </c>
      <c r="C173" s="8" t="s">
        <v>350</v>
      </c>
      <c r="D173" s="8" t="s">
        <v>914</v>
      </c>
      <c r="E173" s="9">
        <v>46315.827465277776</v>
      </c>
      <c r="F173" s="8" t="s">
        <v>915</v>
      </c>
    </row>
    <row r="174" spans="1:6" ht="27">
      <c r="A174" s="8" t="s">
        <v>916</v>
      </c>
      <c r="B174" s="8" t="s">
        <v>888</v>
      </c>
      <c r="C174" s="8" t="s">
        <v>350</v>
      </c>
      <c r="D174" s="8" t="s">
        <v>917</v>
      </c>
      <c r="E174" s="9">
        <v>46315.8278587963</v>
      </c>
      <c r="F174" s="8" t="s">
        <v>946</v>
      </c>
    </row>
    <row r="175" spans="1:6" ht="27">
      <c r="A175" s="8" t="s">
        <v>918</v>
      </c>
      <c r="B175" s="8" t="s">
        <v>888</v>
      </c>
      <c r="C175" s="8" t="s">
        <v>350</v>
      </c>
      <c r="D175" s="8" t="s">
        <v>919</v>
      </c>
      <c r="E175" s="9">
        <v>46315.828344907408</v>
      </c>
      <c r="F175" s="8" t="s">
        <v>948</v>
      </c>
    </row>
    <row r="176" spans="1:6">
      <c r="A176" s="8" t="s">
        <v>920</v>
      </c>
      <c r="B176" s="8" t="s">
        <v>888</v>
      </c>
      <c r="C176" s="8" t="s">
        <v>350</v>
      </c>
      <c r="D176" s="8" t="s">
        <v>921</v>
      </c>
      <c r="E176" s="9">
        <v>46315.828530092593</v>
      </c>
      <c r="F176" s="8" t="s">
        <v>922</v>
      </c>
    </row>
    <row r="177" spans="1:6" ht="27">
      <c r="A177" s="8" t="s">
        <v>923</v>
      </c>
      <c r="B177" s="8" t="s">
        <v>888</v>
      </c>
      <c r="C177" s="8" t="s">
        <v>350</v>
      </c>
      <c r="D177" s="8" t="s">
        <v>924</v>
      </c>
      <c r="E177" s="9">
        <v>46315.829293981478</v>
      </c>
      <c r="F177" s="8" t="s">
        <v>949</v>
      </c>
    </row>
    <row r="178" spans="1:6">
      <c r="A178" s="8" t="s">
        <v>925</v>
      </c>
      <c r="B178" s="8" t="s">
        <v>888</v>
      </c>
      <c r="C178" s="8" t="s">
        <v>350</v>
      </c>
      <c r="D178" s="8" t="s">
        <v>926</v>
      </c>
      <c r="E178" s="9">
        <v>46315.829432870371</v>
      </c>
      <c r="F178" s="8" t="s">
        <v>927</v>
      </c>
    </row>
    <row r="179" spans="1:6" ht="27">
      <c r="A179" s="8" t="s">
        <v>928</v>
      </c>
      <c r="B179" s="8" t="s">
        <v>888</v>
      </c>
      <c r="C179" s="8" t="s">
        <v>350</v>
      </c>
      <c r="D179" s="8" t="s">
        <v>929</v>
      </c>
      <c r="E179" s="9">
        <v>46315.830601851849</v>
      </c>
      <c r="F179" s="8" t="s">
        <v>950</v>
      </c>
    </row>
    <row r="180" spans="1:6">
      <c r="A180" s="8" t="s">
        <v>930</v>
      </c>
      <c r="B180" s="8" t="s">
        <v>888</v>
      </c>
      <c r="C180" s="8" t="s">
        <v>350</v>
      </c>
      <c r="D180" s="8" t="s">
        <v>931</v>
      </c>
      <c r="E180" s="9">
        <v>46315.830717592595</v>
      </c>
      <c r="F180" s="8" t="s">
        <v>932</v>
      </c>
    </row>
    <row r="181" spans="1:6" ht="27">
      <c r="A181" s="8" t="s">
        <v>933</v>
      </c>
      <c r="B181" s="8" t="s">
        <v>888</v>
      </c>
      <c r="C181" s="8" t="s">
        <v>350</v>
      </c>
      <c r="D181" s="8" t="s">
        <v>934</v>
      </c>
      <c r="E181" s="9">
        <v>46315.831967592596</v>
      </c>
      <c r="F181" s="8" t="s">
        <v>951</v>
      </c>
    </row>
    <row r="182" spans="1:6">
      <c r="A182" s="8" t="s">
        <v>935</v>
      </c>
      <c r="B182" s="8" t="s">
        <v>888</v>
      </c>
      <c r="C182" s="8" t="s">
        <v>350</v>
      </c>
      <c r="D182" s="8" t="s">
        <v>936</v>
      </c>
      <c r="E182" s="9">
        <v>46315.832326388889</v>
      </c>
      <c r="F182" s="8" t="s">
        <v>937</v>
      </c>
    </row>
    <row r="183" spans="1:6">
      <c r="A183" s="8" t="s">
        <v>938</v>
      </c>
      <c r="B183" s="8" t="s">
        <v>888</v>
      </c>
      <c r="C183" s="12" t="s">
        <v>939</v>
      </c>
      <c r="D183" s="8" t="s">
        <v>940</v>
      </c>
      <c r="E183" s="9">
        <v>46315.832442129627</v>
      </c>
      <c r="F183" s="8" t="s">
        <v>953</v>
      </c>
    </row>
    <row r="184" spans="1:6" ht="54">
      <c r="A184" s="8" t="s">
        <v>889</v>
      </c>
      <c r="B184" s="8" t="s">
        <v>888</v>
      </c>
      <c r="C184" s="8" t="s">
        <v>415</v>
      </c>
      <c r="D184" s="8" t="s">
        <v>941</v>
      </c>
      <c r="E184" s="9">
        <v>46315.832499999997</v>
      </c>
      <c r="F184" s="8" t="s">
        <v>954</v>
      </c>
    </row>
    <row r="185" spans="1:6" ht="27">
      <c r="A185" s="8" t="s">
        <v>942</v>
      </c>
      <c r="B185" s="8" t="s">
        <v>888</v>
      </c>
      <c r="C185" s="8" t="s">
        <v>145</v>
      </c>
      <c r="D185" s="8" t="s">
        <v>943</v>
      </c>
      <c r="E185" s="9">
        <v>46315.837511574071</v>
      </c>
      <c r="F185" s="8" t="s">
        <v>955</v>
      </c>
    </row>
    <row r="186" spans="1:6" ht="27">
      <c r="A186" s="8" t="s">
        <v>960</v>
      </c>
      <c r="B186" s="8" t="s">
        <v>956</v>
      </c>
      <c r="C186" s="8" t="s">
        <v>350</v>
      </c>
      <c r="D186" s="8" t="s">
        <v>961</v>
      </c>
      <c r="E186" s="9">
        <v>46315.84988425926</v>
      </c>
      <c r="F186" s="8" t="s">
        <v>1007</v>
      </c>
    </row>
    <row r="187" spans="1:6">
      <c r="A187" s="8" t="s">
        <v>962</v>
      </c>
      <c r="B187" s="8" t="s">
        <v>956</v>
      </c>
      <c r="C187" s="8" t="s">
        <v>350</v>
      </c>
      <c r="D187" s="8" t="s">
        <v>963</v>
      </c>
      <c r="E187" s="9">
        <v>46315.850266203706</v>
      </c>
      <c r="F187" s="8" t="s">
        <v>964</v>
      </c>
    </row>
    <row r="188" spans="1:6" ht="27">
      <c r="A188" s="8" t="s">
        <v>965</v>
      </c>
      <c r="B188" s="8" t="s">
        <v>956</v>
      </c>
      <c r="C188" s="8" t="s">
        <v>350</v>
      </c>
      <c r="D188" s="8" t="s">
        <v>966</v>
      </c>
      <c r="E188" s="9">
        <v>46315.850439814814</v>
      </c>
      <c r="F188" s="8" t="s">
        <v>1008</v>
      </c>
    </row>
    <row r="189" spans="1:6" ht="27">
      <c r="A189" s="8" t="s">
        <v>967</v>
      </c>
      <c r="B189" s="8" t="s">
        <v>956</v>
      </c>
      <c r="C189" s="8" t="s">
        <v>350</v>
      </c>
      <c r="D189" s="8" t="s">
        <v>968</v>
      </c>
      <c r="E189" s="9">
        <v>46315.85224537037</v>
      </c>
      <c r="F189" s="8" t="s">
        <v>969</v>
      </c>
    </row>
    <row r="190" spans="1:6" ht="27">
      <c r="A190" s="8" t="s">
        <v>970</v>
      </c>
      <c r="B190" s="8" t="s">
        <v>956</v>
      </c>
      <c r="C190" s="8" t="s">
        <v>350</v>
      </c>
      <c r="D190" s="8" t="s">
        <v>971</v>
      </c>
      <c r="E190" s="9">
        <v>46315.852476851855</v>
      </c>
      <c r="F190" s="8" t="s">
        <v>1009</v>
      </c>
    </row>
    <row r="191" spans="1:6">
      <c r="A191" s="8" t="s">
        <v>972</v>
      </c>
      <c r="B191" s="8" t="s">
        <v>956</v>
      </c>
      <c r="C191" s="8" t="s">
        <v>350</v>
      </c>
      <c r="D191" s="8" t="s">
        <v>973</v>
      </c>
      <c r="E191" s="9">
        <v>46315.85260416667</v>
      </c>
      <c r="F191" s="8" t="s">
        <v>974</v>
      </c>
    </row>
    <row r="192" spans="1:6" ht="27">
      <c r="A192" s="8" t="s">
        <v>975</v>
      </c>
      <c r="B192" s="8" t="s">
        <v>956</v>
      </c>
      <c r="C192" s="8" t="s">
        <v>350</v>
      </c>
      <c r="D192" s="8" t="s">
        <v>976</v>
      </c>
      <c r="E192" s="9">
        <v>46315.853020833332</v>
      </c>
      <c r="F192" s="8" t="s">
        <v>1010</v>
      </c>
    </row>
    <row r="193" spans="1:6">
      <c r="A193" s="8" t="s">
        <v>977</v>
      </c>
      <c r="B193" s="8" t="s">
        <v>956</v>
      </c>
      <c r="C193" s="8" t="s">
        <v>350</v>
      </c>
      <c r="D193" s="8" t="s">
        <v>978</v>
      </c>
      <c r="E193" s="9">
        <v>46315.853310185186</v>
      </c>
      <c r="F193" s="8" t="s">
        <v>979</v>
      </c>
    </row>
    <row r="194" spans="1:6" ht="27">
      <c r="A194" s="8" t="s">
        <v>980</v>
      </c>
      <c r="B194" s="8" t="s">
        <v>956</v>
      </c>
      <c r="C194" s="8" t="s">
        <v>350</v>
      </c>
      <c r="D194" s="8" t="s">
        <v>981</v>
      </c>
      <c r="E194" s="9">
        <v>46315.853773148148</v>
      </c>
      <c r="F194" s="8" t="s">
        <v>1011</v>
      </c>
    </row>
    <row r="195" spans="1:6">
      <c r="A195" s="8" t="s">
        <v>982</v>
      </c>
      <c r="B195" s="8" t="s">
        <v>956</v>
      </c>
      <c r="C195" s="8" t="s">
        <v>350</v>
      </c>
      <c r="D195" s="8" t="s">
        <v>983</v>
      </c>
      <c r="E195" s="9">
        <v>46315.853912037041</v>
      </c>
      <c r="F195" s="8" t="s">
        <v>984</v>
      </c>
    </row>
    <row r="196" spans="1:6" ht="27">
      <c r="A196" s="8" t="s">
        <v>985</v>
      </c>
      <c r="B196" s="8" t="s">
        <v>956</v>
      </c>
      <c r="C196" s="8" t="s">
        <v>350</v>
      </c>
      <c r="D196" s="8" t="s">
        <v>986</v>
      </c>
      <c r="E196" s="9">
        <v>46315.854062500002</v>
      </c>
      <c r="F196" s="8" t="s">
        <v>1012</v>
      </c>
    </row>
    <row r="197" spans="1:6" ht="27">
      <c r="A197" s="8" t="s">
        <v>987</v>
      </c>
      <c r="B197" s="8" t="s">
        <v>956</v>
      </c>
      <c r="C197" s="8" t="s">
        <v>350</v>
      </c>
      <c r="D197" s="8" t="s">
        <v>988</v>
      </c>
      <c r="E197" s="9">
        <v>46315.854837962965</v>
      </c>
      <c r="F197" s="8" t="s">
        <v>1013</v>
      </c>
    </row>
    <row r="198" spans="1:6">
      <c r="A198" s="8" t="s">
        <v>989</v>
      </c>
      <c r="B198" s="8" t="s">
        <v>956</v>
      </c>
      <c r="C198" s="8" t="s">
        <v>350</v>
      </c>
      <c r="D198" s="8" t="s">
        <v>990</v>
      </c>
      <c r="E198" s="9">
        <v>46315.85497685185</v>
      </c>
      <c r="F198" s="8" t="s">
        <v>991</v>
      </c>
    </row>
    <row r="199" spans="1:6" ht="40.5">
      <c r="A199" s="8" t="s">
        <v>992</v>
      </c>
      <c r="B199" s="8" t="s">
        <v>956</v>
      </c>
      <c r="C199" s="8" t="s">
        <v>350</v>
      </c>
      <c r="D199" s="8" t="s">
        <v>993</v>
      </c>
      <c r="E199" s="9">
        <v>46315.855439814812</v>
      </c>
      <c r="F199" s="8" t="s">
        <v>1014</v>
      </c>
    </row>
    <row r="200" spans="1:6">
      <c r="A200" s="8" t="s">
        <v>994</v>
      </c>
      <c r="B200" s="8" t="s">
        <v>956</v>
      </c>
      <c r="C200" s="8" t="s">
        <v>350</v>
      </c>
      <c r="D200" s="8" t="s">
        <v>995</v>
      </c>
      <c r="E200" s="9">
        <v>46315.855266203704</v>
      </c>
      <c r="F200" s="8" t="s">
        <v>996</v>
      </c>
    </row>
    <row r="201" spans="1:6" ht="27">
      <c r="A201" s="8" t="s">
        <v>997</v>
      </c>
      <c r="B201" s="8" t="s">
        <v>956</v>
      </c>
      <c r="C201" s="8" t="s">
        <v>350</v>
      </c>
      <c r="D201" s="8" t="s">
        <v>998</v>
      </c>
      <c r="E201" s="9">
        <v>46315.856122685182</v>
      </c>
      <c r="F201" s="8" t="s">
        <v>1015</v>
      </c>
    </row>
    <row r="202" spans="1:6">
      <c r="A202" s="8" t="s">
        <v>999</v>
      </c>
      <c r="B202" s="8" t="s">
        <v>956</v>
      </c>
      <c r="C202" s="8" t="s">
        <v>350</v>
      </c>
      <c r="D202" s="8" t="s">
        <v>1000</v>
      </c>
      <c r="E202" s="9">
        <v>46315.856469907405</v>
      </c>
      <c r="F202" s="8" t="s">
        <v>1001</v>
      </c>
    </row>
    <row r="203" spans="1:6">
      <c r="A203" s="8" t="s">
        <v>1002</v>
      </c>
      <c r="B203" s="8" t="s">
        <v>956</v>
      </c>
      <c r="C203" s="8" t="s">
        <v>350</v>
      </c>
      <c r="D203" s="8" t="s">
        <v>1003</v>
      </c>
      <c r="E203" s="9">
        <v>46315.856782407405</v>
      </c>
      <c r="F203" s="8" t="s">
        <v>952</v>
      </c>
    </row>
    <row r="204" spans="1:6" ht="81">
      <c r="A204" s="8" t="s">
        <v>957</v>
      </c>
      <c r="B204" s="8" t="s">
        <v>956</v>
      </c>
      <c r="C204" s="8" t="s">
        <v>415</v>
      </c>
      <c r="D204" s="8" t="s">
        <v>1004</v>
      </c>
      <c r="E204" s="9">
        <v>46315.856863425928</v>
      </c>
      <c r="F204" s="8" t="s">
        <v>1016</v>
      </c>
    </row>
    <row r="205" spans="1:6" ht="54">
      <c r="A205" s="8" t="s">
        <v>1005</v>
      </c>
      <c r="B205" s="8" t="s">
        <v>956</v>
      </c>
      <c r="C205" s="8" t="s">
        <v>145</v>
      </c>
      <c r="D205" s="8" t="s">
        <v>1006</v>
      </c>
      <c r="E205" s="9">
        <v>46315.852025462962</v>
      </c>
      <c r="F205" s="8" t="s">
        <v>1017</v>
      </c>
    </row>
    <row r="206" spans="1:6" ht="27">
      <c r="A206" s="8" t="s">
        <v>1022</v>
      </c>
      <c r="B206" s="8" t="s">
        <v>1018</v>
      </c>
      <c r="C206" s="8" t="s">
        <v>350</v>
      </c>
      <c r="D206" s="8" t="s">
        <v>1023</v>
      </c>
      <c r="E206" s="9">
        <v>46315.882916666669</v>
      </c>
      <c r="F206" s="8" t="s">
        <v>1007</v>
      </c>
    </row>
    <row r="207" spans="1:6">
      <c r="A207" s="8" t="s">
        <v>1024</v>
      </c>
      <c r="B207" s="8" t="s">
        <v>1018</v>
      </c>
      <c r="C207" s="8" t="s">
        <v>350</v>
      </c>
      <c r="D207" s="8" t="s">
        <v>1025</v>
      </c>
      <c r="E207" s="9">
        <v>46315.883263888885</v>
      </c>
      <c r="F207" s="8" t="s">
        <v>1026</v>
      </c>
    </row>
    <row r="208" spans="1:6" ht="27">
      <c r="A208" s="8" t="s">
        <v>1027</v>
      </c>
      <c r="B208" s="8" t="s">
        <v>1018</v>
      </c>
      <c r="C208" s="8" t="s">
        <v>350</v>
      </c>
      <c r="D208" s="8" t="s">
        <v>1028</v>
      </c>
      <c r="E208" s="9">
        <v>46315.883553240739</v>
      </c>
      <c r="F208" s="8" t="s">
        <v>1008</v>
      </c>
    </row>
    <row r="209" spans="1:6" ht="27">
      <c r="A209" s="8" t="s">
        <v>1029</v>
      </c>
      <c r="B209" s="8" t="s">
        <v>1018</v>
      </c>
      <c r="C209" s="8" t="s">
        <v>350</v>
      </c>
      <c r="D209" s="8" t="s">
        <v>1030</v>
      </c>
      <c r="E209" s="9">
        <v>46315.885196759256</v>
      </c>
      <c r="F209" s="8" t="s">
        <v>1070</v>
      </c>
    </row>
    <row r="210" spans="1:6">
      <c r="A210" s="8" t="s">
        <v>1031</v>
      </c>
      <c r="B210" s="8" t="s">
        <v>1018</v>
      </c>
      <c r="C210" s="8" t="s">
        <v>350</v>
      </c>
      <c r="D210" s="8" t="s">
        <v>1032</v>
      </c>
      <c r="E210" s="9">
        <v>46315.885347222225</v>
      </c>
      <c r="F210" s="8" t="s">
        <v>1033</v>
      </c>
    </row>
    <row r="211" spans="1:6" ht="27">
      <c r="A211" s="8" t="s">
        <v>1034</v>
      </c>
      <c r="B211" s="8" t="s">
        <v>1018</v>
      </c>
      <c r="C211" s="8" t="s">
        <v>350</v>
      </c>
      <c r="D211" s="8" t="s">
        <v>1035</v>
      </c>
      <c r="E211" s="9">
        <v>46315.88554398148</v>
      </c>
      <c r="F211" s="8" t="s">
        <v>1071</v>
      </c>
    </row>
    <row r="212" spans="1:6">
      <c r="A212" s="8" t="s">
        <v>1036</v>
      </c>
      <c r="B212" s="8" t="s">
        <v>1018</v>
      </c>
      <c r="C212" s="8" t="s">
        <v>350</v>
      </c>
      <c r="D212" s="8" t="s">
        <v>1037</v>
      </c>
      <c r="E212" s="9">
        <v>46315.885694444441</v>
      </c>
      <c r="F212" s="8" t="s">
        <v>1038</v>
      </c>
    </row>
    <row r="213" spans="1:6">
      <c r="A213" s="8" t="s">
        <v>1039</v>
      </c>
      <c r="B213" s="8" t="s">
        <v>1018</v>
      </c>
      <c r="C213" s="8" t="s">
        <v>350</v>
      </c>
      <c r="D213" s="8" t="s">
        <v>1040</v>
      </c>
      <c r="E213" s="9">
        <v>46315.886076388888</v>
      </c>
      <c r="F213" s="8" t="s">
        <v>1041</v>
      </c>
    </row>
    <row r="214" spans="1:6" ht="27">
      <c r="A214" s="8" t="s">
        <v>1042</v>
      </c>
      <c r="B214" s="8" t="s">
        <v>1018</v>
      </c>
      <c r="C214" s="8" t="s">
        <v>350</v>
      </c>
      <c r="D214" s="8" t="s">
        <v>1043</v>
      </c>
      <c r="E214" s="9">
        <v>46315.887118055558</v>
      </c>
      <c r="F214" s="8" t="s">
        <v>1072</v>
      </c>
    </row>
    <row r="215" spans="1:6">
      <c r="A215" s="8" t="s">
        <v>1044</v>
      </c>
      <c r="B215" s="8" t="s">
        <v>1018</v>
      </c>
      <c r="C215" s="8" t="s">
        <v>350</v>
      </c>
      <c r="D215" s="8" t="s">
        <v>1045</v>
      </c>
      <c r="E215" s="9">
        <v>46315.88726851852</v>
      </c>
      <c r="F215" s="8" t="s">
        <v>1046</v>
      </c>
    </row>
    <row r="216" spans="1:6" ht="27">
      <c r="A216" s="8" t="s">
        <v>1047</v>
      </c>
      <c r="B216" s="8" t="s">
        <v>1018</v>
      </c>
      <c r="C216" s="8" t="s">
        <v>350</v>
      </c>
      <c r="D216" s="8" t="s">
        <v>1048</v>
      </c>
      <c r="E216" s="9">
        <v>46315.886863425927</v>
      </c>
      <c r="F216" s="8" t="s">
        <v>1073</v>
      </c>
    </row>
    <row r="217" spans="1:6" ht="27">
      <c r="A217" s="8" t="s">
        <v>1049</v>
      </c>
      <c r="B217" s="8" t="s">
        <v>1018</v>
      </c>
      <c r="C217" s="8" t="s">
        <v>350</v>
      </c>
      <c r="D217" s="8" t="s">
        <v>1050</v>
      </c>
      <c r="E217" s="9">
        <v>46315.88621527778</v>
      </c>
      <c r="F217" s="8" t="s">
        <v>1074</v>
      </c>
    </row>
    <row r="218" spans="1:6" ht="27">
      <c r="A218" s="8" t="s">
        <v>1051</v>
      </c>
      <c r="B218" s="8" t="s">
        <v>1018</v>
      </c>
      <c r="C218" s="8" t="s">
        <v>350</v>
      </c>
      <c r="D218" s="8" t="s">
        <v>1052</v>
      </c>
      <c r="E218" s="9">
        <v>46315.88784722222</v>
      </c>
      <c r="F218" s="8" t="s">
        <v>1075</v>
      </c>
    </row>
    <row r="219" spans="1:6">
      <c r="A219" s="8" t="s">
        <v>1053</v>
      </c>
      <c r="B219" s="8" t="s">
        <v>1018</v>
      </c>
      <c r="C219" s="8" t="s">
        <v>350</v>
      </c>
      <c r="D219" s="8" t="s">
        <v>1054</v>
      </c>
      <c r="E219" s="9">
        <v>46315.887685185182</v>
      </c>
      <c r="F219" s="8" t="s">
        <v>1055</v>
      </c>
    </row>
    <row r="220" spans="1:6" ht="27">
      <c r="A220" s="8" t="s">
        <v>1056</v>
      </c>
      <c r="B220" s="8" t="s">
        <v>1018</v>
      </c>
      <c r="C220" s="8" t="s">
        <v>350</v>
      </c>
      <c r="D220" s="8" t="s">
        <v>1057</v>
      </c>
      <c r="E220" s="9">
        <v>46315.888483796298</v>
      </c>
      <c r="F220" s="8" t="s">
        <v>1076</v>
      </c>
    </row>
    <row r="221" spans="1:6">
      <c r="A221" s="8" t="s">
        <v>1058</v>
      </c>
      <c r="B221" s="8" t="s">
        <v>1018</v>
      </c>
      <c r="C221" s="8" t="s">
        <v>350</v>
      </c>
      <c r="D221" s="8" t="s">
        <v>1059</v>
      </c>
      <c r="E221" s="9">
        <v>46315.888333333336</v>
      </c>
      <c r="F221" s="8" t="s">
        <v>996</v>
      </c>
    </row>
    <row r="222" spans="1:6" ht="27">
      <c r="A222" s="8" t="s">
        <v>1060</v>
      </c>
      <c r="B222" s="8" t="s">
        <v>1018</v>
      </c>
      <c r="C222" s="8" t="s">
        <v>350</v>
      </c>
      <c r="D222" s="8" t="s">
        <v>1061</v>
      </c>
      <c r="E222" s="9">
        <v>46315.889108796298</v>
      </c>
      <c r="F222" s="8" t="s">
        <v>1077</v>
      </c>
    </row>
    <row r="223" spans="1:6">
      <c r="A223" s="8" t="s">
        <v>1062</v>
      </c>
      <c r="B223" s="8" t="s">
        <v>1018</v>
      </c>
      <c r="C223" s="8" t="s">
        <v>350</v>
      </c>
      <c r="D223" s="8" t="s">
        <v>1063</v>
      </c>
      <c r="E223" s="9">
        <v>46315.889479166668</v>
      </c>
      <c r="F223" s="8" t="s">
        <v>1064</v>
      </c>
    </row>
    <row r="224" spans="1:6">
      <c r="A224" s="8" t="s">
        <v>1065</v>
      </c>
      <c r="B224" s="8" t="s">
        <v>1018</v>
      </c>
      <c r="C224" s="8" t="s">
        <v>350</v>
      </c>
      <c r="D224" s="8" t="s">
        <v>1066</v>
      </c>
      <c r="E224" s="9">
        <v>46315.889652777776</v>
      </c>
      <c r="F224" s="8" t="s">
        <v>952</v>
      </c>
    </row>
    <row r="225" spans="1:6" ht="54">
      <c r="A225" s="8" t="s">
        <v>1019</v>
      </c>
      <c r="B225" s="8" t="s">
        <v>1018</v>
      </c>
      <c r="C225" s="8" t="s">
        <v>415</v>
      </c>
      <c r="D225" s="8" t="s">
        <v>1067</v>
      </c>
      <c r="E225" s="9">
        <v>46315.889699074076</v>
      </c>
      <c r="F225" s="8" t="s">
        <v>1078</v>
      </c>
    </row>
    <row r="226" spans="1:6" ht="54">
      <c r="A226" s="8" t="s">
        <v>1068</v>
      </c>
      <c r="B226" s="8" t="s">
        <v>1018</v>
      </c>
      <c r="C226" s="8" t="s">
        <v>145</v>
      </c>
      <c r="D226" s="8" t="s">
        <v>1069</v>
      </c>
      <c r="E226" s="9">
        <v>46315.885069444441</v>
      </c>
      <c r="F226" s="8" t="s">
        <v>1079</v>
      </c>
    </row>
    <row r="227" spans="1:6" ht="27">
      <c r="A227" s="8" t="s">
        <v>1084</v>
      </c>
      <c r="B227" s="8" t="s">
        <v>1080</v>
      </c>
      <c r="C227" s="8" t="s">
        <v>350</v>
      </c>
      <c r="D227" s="8" t="s">
        <v>1085</v>
      </c>
      <c r="E227" s="9">
        <v>46316.544537037036</v>
      </c>
      <c r="F227" s="8" t="s">
        <v>1134</v>
      </c>
    </row>
    <row r="228" spans="1:6">
      <c r="A228" s="8" t="s">
        <v>1086</v>
      </c>
      <c r="B228" s="8" t="s">
        <v>1080</v>
      </c>
      <c r="C228" s="8" t="s">
        <v>350</v>
      </c>
      <c r="D228" s="8" t="s">
        <v>1087</v>
      </c>
      <c r="E228" s="9">
        <v>46316.544664351852</v>
      </c>
      <c r="F228" s="8" t="s">
        <v>1088</v>
      </c>
    </row>
    <row r="229" spans="1:6" ht="27">
      <c r="A229" s="8" t="s">
        <v>1089</v>
      </c>
      <c r="B229" s="8" t="s">
        <v>1080</v>
      </c>
      <c r="C229" s="8" t="s">
        <v>350</v>
      </c>
      <c r="D229" s="8" t="s">
        <v>1090</v>
      </c>
      <c r="E229" s="9">
        <v>46316.54482638889</v>
      </c>
      <c r="F229" s="8" t="s">
        <v>1008</v>
      </c>
    </row>
    <row r="230" spans="1:6" ht="27">
      <c r="A230" s="8" t="s">
        <v>1091</v>
      </c>
      <c r="B230" s="8" t="s">
        <v>1080</v>
      </c>
      <c r="C230" s="8" t="s">
        <v>350</v>
      </c>
      <c r="D230" s="8" t="s">
        <v>1092</v>
      </c>
      <c r="E230" s="9">
        <v>46316.545706018522</v>
      </c>
      <c r="F230" s="8" t="s">
        <v>1135</v>
      </c>
    </row>
    <row r="231" spans="1:6">
      <c r="A231" s="8" t="s">
        <v>1093</v>
      </c>
      <c r="B231" s="8" t="s">
        <v>1080</v>
      </c>
      <c r="C231" s="8" t="s">
        <v>350</v>
      </c>
      <c r="D231" s="8" t="s">
        <v>1094</v>
      </c>
      <c r="E231" s="9">
        <v>46316.545856481483</v>
      </c>
      <c r="F231" s="8" t="s">
        <v>1095</v>
      </c>
    </row>
    <row r="232" spans="1:6">
      <c r="A232" s="8" t="s">
        <v>1096</v>
      </c>
      <c r="B232" s="8" t="s">
        <v>1080</v>
      </c>
      <c r="C232" s="8" t="s">
        <v>350</v>
      </c>
      <c r="D232" s="8" t="s">
        <v>1097</v>
      </c>
      <c r="E232" s="9">
        <v>46316.546064814815</v>
      </c>
      <c r="F232" s="8" t="s">
        <v>1098</v>
      </c>
    </row>
    <row r="233" spans="1:6">
      <c r="A233" s="8" t="s">
        <v>1099</v>
      </c>
      <c r="B233" s="8" t="s">
        <v>1080</v>
      </c>
      <c r="C233" s="8" t="s">
        <v>350</v>
      </c>
      <c r="D233" s="8" t="s">
        <v>1100</v>
      </c>
      <c r="E233" s="9">
        <v>46316.546203703707</v>
      </c>
      <c r="F233" s="8" t="s">
        <v>1101</v>
      </c>
    </row>
    <row r="234" spans="1:6">
      <c r="A234" s="8" t="s">
        <v>1102</v>
      </c>
      <c r="B234" s="8" t="s">
        <v>1080</v>
      </c>
      <c r="C234" s="8" t="s">
        <v>350</v>
      </c>
      <c r="D234" s="8" t="s">
        <v>1103</v>
      </c>
      <c r="E234" s="9">
        <v>46316.546458333331</v>
      </c>
      <c r="F234" s="8" t="s">
        <v>1104</v>
      </c>
    </row>
    <row r="235" spans="1:6">
      <c r="A235" s="8" t="s">
        <v>1105</v>
      </c>
      <c r="B235" s="8" t="s">
        <v>1080</v>
      </c>
      <c r="C235" s="8" t="s">
        <v>350</v>
      </c>
      <c r="D235" s="8" t="s">
        <v>1106</v>
      </c>
      <c r="E235" s="9">
        <v>46316.546851851854</v>
      </c>
      <c r="F235" s="8" t="s">
        <v>1107</v>
      </c>
    </row>
    <row r="236" spans="1:6">
      <c r="A236" s="8" t="s">
        <v>1108</v>
      </c>
      <c r="B236" s="8" t="s">
        <v>1080</v>
      </c>
      <c r="C236" s="8" t="s">
        <v>350</v>
      </c>
      <c r="D236" s="8" t="s">
        <v>1109</v>
      </c>
      <c r="E236" s="9">
        <v>46316.546689814815</v>
      </c>
      <c r="F236" s="8" t="s">
        <v>1110</v>
      </c>
    </row>
    <row r="237" spans="1:6" ht="40.5">
      <c r="A237" s="8" t="s">
        <v>1111</v>
      </c>
      <c r="B237" s="8" t="s">
        <v>1080</v>
      </c>
      <c r="C237" s="8" t="s">
        <v>350</v>
      </c>
      <c r="D237" s="8" t="s">
        <v>1112</v>
      </c>
      <c r="E237" s="9">
        <v>46316.5471412037</v>
      </c>
      <c r="F237" s="8" t="s">
        <v>1136</v>
      </c>
    </row>
    <row r="238" spans="1:6" ht="27">
      <c r="A238" s="8" t="s">
        <v>1113</v>
      </c>
      <c r="B238" s="8" t="s">
        <v>1080</v>
      </c>
      <c r="C238" s="8" t="s">
        <v>350</v>
      </c>
      <c r="D238" s="8" t="s">
        <v>1114</v>
      </c>
      <c r="E238" s="9">
        <v>46316.547291666669</v>
      </c>
      <c r="F238" s="8" t="s">
        <v>1137</v>
      </c>
    </row>
    <row r="239" spans="1:6" ht="27">
      <c r="A239" s="8" t="s">
        <v>1115</v>
      </c>
      <c r="B239" s="8" t="s">
        <v>1080</v>
      </c>
      <c r="C239" s="8" t="s">
        <v>350</v>
      </c>
      <c r="D239" s="8" t="s">
        <v>1116</v>
      </c>
      <c r="E239" s="9">
        <v>46316.547766203701</v>
      </c>
      <c r="F239" s="8" t="s">
        <v>1138</v>
      </c>
    </row>
    <row r="240" spans="1:6">
      <c r="A240" s="8" t="s">
        <v>1117</v>
      </c>
      <c r="B240" s="8" t="s">
        <v>1080</v>
      </c>
      <c r="C240" s="8" t="s">
        <v>350</v>
      </c>
      <c r="D240" s="8" t="s">
        <v>1118</v>
      </c>
      <c r="E240" s="9">
        <v>46316.54791666667</v>
      </c>
      <c r="F240" s="8" t="s">
        <v>1119</v>
      </c>
    </row>
    <row r="241" spans="1:6" ht="27">
      <c r="A241" s="8" t="s">
        <v>1120</v>
      </c>
      <c r="B241" s="8" t="s">
        <v>1080</v>
      </c>
      <c r="C241" s="8" t="s">
        <v>350</v>
      </c>
      <c r="D241" s="8" t="s">
        <v>1121</v>
      </c>
      <c r="E241" s="9">
        <v>46316.548425925925</v>
      </c>
      <c r="F241" s="8" t="s">
        <v>1139</v>
      </c>
    </row>
    <row r="242" spans="1:6">
      <c r="A242" s="8" t="s">
        <v>1122</v>
      </c>
      <c r="B242" s="8" t="s">
        <v>1080</v>
      </c>
      <c r="C242" s="8" t="s">
        <v>350</v>
      </c>
      <c r="D242" s="8" t="s">
        <v>1123</v>
      </c>
      <c r="E242" s="9">
        <v>46316.548611111109</v>
      </c>
      <c r="F242" s="8" t="s">
        <v>996</v>
      </c>
    </row>
    <row r="243" spans="1:6" ht="27">
      <c r="A243" s="8" t="s">
        <v>1124</v>
      </c>
      <c r="B243" s="8" t="s">
        <v>1080</v>
      </c>
      <c r="C243" s="8" t="s">
        <v>350</v>
      </c>
      <c r="D243" s="8" t="s">
        <v>1125</v>
      </c>
      <c r="E243" s="9">
        <v>46316.549293981479</v>
      </c>
      <c r="F243" s="8" t="s">
        <v>1077</v>
      </c>
    </row>
    <row r="244" spans="1:6">
      <c r="A244" s="8" t="s">
        <v>1126</v>
      </c>
      <c r="B244" s="8" t="s">
        <v>1080</v>
      </c>
      <c r="C244" s="8" t="s">
        <v>350</v>
      </c>
      <c r="D244" s="8" t="s">
        <v>1127</v>
      </c>
      <c r="E244" s="9">
        <v>46316.549560185187</v>
      </c>
      <c r="F244" s="8" t="s">
        <v>1128</v>
      </c>
    </row>
    <row r="245" spans="1:6">
      <c r="A245" s="8" t="s">
        <v>1129</v>
      </c>
      <c r="B245" s="8" t="s">
        <v>1080</v>
      </c>
      <c r="C245" s="8" t="s">
        <v>350</v>
      </c>
      <c r="D245" s="8" t="s">
        <v>1130</v>
      </c>
      <c r="E245" s="9">
        <v>46316.549745370372</v>
      </c>
      <c r="F245" s="8" t="s">
        <v>952</v>
      </c>
    </row>
    <row r="246" spans="1:6" ht="67.5">
      <c r="A246" s="8" t="s">
        <v>1081</v>
      </c>
      <c r="B246" s="8" t="s">
        <v>1080</v>
      </c>
      <c r="C246" s="8" t="s">
        <v>415</v>
      </c>
      <c r="D246" s="8" t="s">
        <v>1131</v>
      </c>
      <c r="E246" s="9">
        <v>46316.549791666665</v>
      </c>
      <c r="F246" s="8" t="s">
        <v>1140</v>
      </c>
    </row>
    <row r="247" spans="1:6" ht="54">
      <c r="A247" s="8" t="s">
        <v>1132</v>
      </c>
      <c r="B247" s="8" t="s">
        <v>1080</v>
      </c>
      <c r="C247" s="8" t="s">
        <v>145</v>
      </c>
      <c r="D247" s="8" t="s">
        <v>1133</v>
      </c>
      <c r="E247" s="9">
        <v>46316.545543981483</v>
      </c>
      <c r="F247" s="8" t="s">
        <v>1141</v>
      </c>
    </row>
    <row r="248" spans="1:6" ht="67.5">
      <c r="A248" s="8" t="s">
        <v>1143</v>
      </c>
      <c r="B248" s="8" t="s">
        <v>1142</v>
      </c>
      <c r="C248" s="8" t="s">
        <v>415</v>
      </c>
      <c r="D248" s="8" t="s">
        <v>1145</v>
      </c>
      <c r="E248" s="9">
        <v>46316.621064814812</v>
      </c>
      <c r="F248" s="8" t="s">
        <v>1196</v>
      </c>
    </row>
    <row r="249" spans="1:6">
      <c r="A249" s="8" t="s">
        <v>1146</v>
      </c>
      <c r="B249" s="8" t="s">
        <v>1142</v>
      </c>
      <c r="C249" s="8" t="s">
        <v>350</v>
      </c>
      <c r="D249" s="8" t="s">
        <v>1147</v>
      </c>
      <c r="E249" s="9">
        <v>46316.610856481479</v>
      </c>
      <c r="F249" s="8" t="s">
        <v>1148</v>
      </c>
    </row>
    <row r="250" spans="1:6">
      <c r="A250" s="8" t="s">
        <v>1149</v>
      </c>
      <c r="B250" s="8" t="s">
        <v>1142</v>
      </c>
      <c r="C250" s="8" t="s">
        <v>350</v>
      </c>
      <c r="D250" s="8" t="s">
        <v>1150</v>
      </c>
      <c r="E250" s="9">
        <v>46316.611331018517</v>
      </c>
      <c r="F250" s="8" t="s">
        <v>1151</v>
      </c>
    </row>
    <row r="251" spans="1:6">
      <c r="A251" s="8" t="s">
        <v>1152</v>
      </c>
      <c r="B251" s="8" t="s">
        <v>1142</v>
      </c>
      <c r="C251" s="8" t="s">
        <v>350</v>
      </c>
      <c r="D251" s="8" t="s">
        <v>1153</v>
      </c>
      <c r="E251" s="9">
        <v>46316.611481481479</v>
      </c>
      <c r="F251" s="8" t="s">
        <v>1154</v>
      </c>
    </row>
    <row r="252" spans="1:6" ht="40.5">
      <c r="A252" s="8" t="s">
        <v>1155</v>
      </c>
      <c r="B252" s="8" t="s">
        <v>1142</v>
      </c>
      <c r="C252" s="8" t="s">
        <v>350</v>
      </c>
      <c r="D252" s="8" t="s">
        <v>1156</v>
      </c>
      <c r="E252" s="9">
        <v>46316.611631944441</v>
      </c>
      <c r="F252" s="8" t="s">
        <v>1197</v>
      </c>
    </row>
    <row r="253" spans="1:6" ht="27">
      <c r="A253" s="8" t="s">
        <v>1157</v>
      </c>
      <c r="B253" s="8" t="s">
        <v>1142</v>
      </c>
      <c r="C253" s="8" t="s">
        <v>350</v>
      </c>
      <c r="D253" s="8" t="s">
        <v>1158</v>
      </c>
      <c r="E253" s="9">
        <v>46316.612673611111</v>
      </c>
      <c r="F253" s="8" t="s">
        <v>1198</v>
      </c>
    </row>
    <row r="254" spans="1:6" ht="27">
      <c r="A254" s="8" t="s">
        <v>1159</v>
      </c>
      <c r="B254" s="8" t="s">
        <v>1142</v>
      </c>
      <c r="C254" s="8" t="s">
        <v>350</v>
      </c>
      <c r="D254" s="8" t="s">
        <v>1160</v>
      </c>
      <c r="E254" s="9">
        <v>46316.612812500003</v>
      </c>
      <c r="F254" s="8" t="s">
        <v>1199</v>
      </c>
    </row>
    <row r="255" spans="1:6" ht="27">
      <c r="A255" s="8" t="s">
        <v>1161</v>
      </c>
      <c r="B255" s="8" t="s">
        <v>1142</v>
      </c>
      <c r="C255" s="8" t="s">
        <v>350</v>
      </c>
      <c r="D255" s="8" t="s">
        <v>1162</v>
      </c>
      <c r="E255" s="9">
        <v>46316.612997685188</v>
      </c>
      <c r="F255" s="8" t="s">
        <v>1200</v>
      </c>
    </row>
    <row r="256" spans="1:6">
      <c r="A256" s="8" t="s">
        <v>1163</v>
      </c>
      <c r="B256" s="8" t="s">
        <v>1142</v>
      </c>
      <c r="C256" s="8" t="s">
        <v>350</v>
      </c>
      <c r="D256" s="8" t="s">
        <v>1164</v>
      </c>
      <c r="E256" s="9">
        <v>46316.61314814815</v>
      </c>
      <c r="F256" s="8" t="s">
        <v>1165</v>
      </c>
    </row>
    <row r="257" spans="1:6" ht="40.5">
      <c r="A257" s="8" t="s">
        <v>1166</v>
      </c>
      <c r="B257" s="8" t="s">
        <v>1142</v>
      </c>
      <c r="C257" s="8" t="s">
        <v>350</v>
      </c>
      <c r="D257" s="8" t="s">
        <v>1167</v>
      </c>
      <c r="E257" s="9">
        <v>46316.615960648145</v>
      </c>
      <c r="F257" s="8" t="s">
        <v>1202</v>
      </c>
    </row>
    <row r="258" spans="1:6" ht="27">
      <c r="A258" s="8" t="s">
        <v>1168</v>
      </c>
      <c r="B258" s="8" t="s">
        <v>1142</v>
      </c>
      <c r="C258" s="8" t="s">
        <v>350</v>
      </c>
      <c r="D258" s="8" t="s">
        <v>1169</v>
      </c>
      <c r="E258" s="9">
        <v>46316.616851851853</v>
      </c>
      <c r="F258" s="8" t="s">
        <v>1203</v>
      </c>
    </row>
    <row r="259" spans="1:6">
      <c r="A259" s="8" t="s">
        <v>1170</v>
      </c>
      <c r="B259" s="8" t="s">
        <v>1142</v>
      </c>
      <c r="C259" s="8" t="s">
        <v>350</v>
      </c>
      <c r="D259" s="8" t="s">
        <v>1171</v>
      </c>
      <c r="E259" s="9">
        <v>46316.617094907408</v>
      </c>
      <c r="F259" s="8" t="s">
        <v>1172</v>
      </c>
    </row>
    <row r="260" spans="1:6">
      <c r="A260" s="8" t="s">
        <v>1173</v>
      </c>
      <c r="B260" s="8" t="s">
        <v>1142</v>
      </c>
      <c r="C260" s="8" t="s">
        <v>350</v>
      </c>
      <c r="D260" s="8" t="s">
        <v>1174</v>
      </c>
      <c r="E260" s="9">
        <v>46316.617268518516</v>
      </c>
      <c r="F260" s="8" t="s">
        <v>1175</v>
      </c>
    </row>
    <row r="261" spans="1:6" ht="27">
      <c r="A261" s="8" t="s">
        <v>1176</v>
      </c>
      <c r="B261" s="8" t="s">
        <v>1142</v>
      </c>
      <c r="C261" s="8" t="s">
        <v>350</v>
      </c>
      <c r="D261" s="8" t="s">
        <v>1177</v>
      </c>
      <c r="E261" s="9">
        <v>46316.617430555554</v>
      </c>
      <c r="F261" s="8" t="s">
        <v>1204</v>
      </c>
    </row>
    <row r="262" spans="1:6" ht="27">
      <c r="A262" s="8" t="s">
        <v>1178</v>
      </c>
      <c r="B262" s="8" t="s">
        <v>1142</v>
      </c>
      <c r="C262" s="8" t="s">
        <v>350</v>
      </c>
      <c r="D262" s="8" t="s">
        <v>1179</v>
      </c>
      <c r="E262" s="9">
        <v>46316.618032407408</v>
      </c>
      <c r="F262" s="8" t="s">
        <v>1205</v>
      </c>
    </row>
    <row r="263" spans="1:6" ht="40.5">
      <c r="A263" s="8" t="s">
        <v>1180</v>
      </c>
      <c r="B263" s="8" t="s">
        <v>1142</v>
      </c>
      <c r="C263" s="8" t="s">
        <v>350</v>
      </c>
      <c r="D263" s="8" t="s">
        <v>1181</v>
      </c>
      <c r="E263" s="9">
        <v>46316.618877314817</v>
      </c>
      <c r="F263" s="8" t="s">
        <v>1206</v>
      </c>
    </row>
    <row r="264" spans="1:6">
      <c r="A264" s="8" t="s">
        <v>1182</v>
      </c>
      <c r="B264" s="8" t="s">
        <v>1142</v>
      </c>
      <c r="C264" s="8" t="s">
        <v>350</v>
      </c>
      <c r="D264" s="8" t="s">
        <v>1183</v>
      </c>
      <c r="E264" s="9">
        <v>46316.619305555556</v>
      </c>
      <c r="F264" s="8" t="s">
        <v>1184</v>
      </c>
    </row>
    <row r="265" spans="1:6" ht="27">
      <c r="A265" s="8" t="s">
        <v>1185</v>
      </c>
      <c r="B265" s="8" t="s">
        <v>1142</v>
      </c>
      <c r="C265" s="8" t="s">
        <v>350</v>
      </c>
      <c r="D265" s="8" t="s">
        <v>1186</v>
      </c>
      <c r="E265" s="9">
        <v>46316.619479166664</v>
      </c>
      <c r="F265" s="8" t="s">
        <v>1207</v>
      </c>
    </row>
    <row r="266" spans="1:6">
      <c r="A266" s="8" t="s">
        <v>1187</v>
      </c>
      <c r="B266" s="8" t="s">
        <v>1142</v>
      </c>
      <c r="C266" s="8" t="s">
        <v>350</v>
      </c>
      <c r="D266" s="8" t="s">
        <v>1188</v>
      </c>
      <c r="E266" s="9">
        <v>46316.620439814818</v>
      </c>
      <c r="F266" s="8" t="s">
        <v>1189</v>
      </c>
    </row>
    <row r="267" spans="1:6">
      <c r="A267" s="8" t="s">
        <v>1190</v>
      </c>
      <c r="B267" s="8" t="s">
        <v>1142</v>
      </c>
      <c r="C267" s="8" t="s">
        <v>350</v>
      </c>
      <c r="D267" s="8" t="s">
        <v>1191</v>
      </c>
      <c r="E267" s="9">
        <v>46316.620613425926</v>
      </c>
      <c r="F267" s="8" t="s">
        <v>952</v>
      </c>
    </row>
    <row r="268" spans="1:6" ht="27">
      <c r="A268" s="8" t="s">
        <v>1192</v>
      </c>
      <c r="B268" s="8" t="s">
        <v>1142</v>
      </c>
      <c r="C268" s="8" t="s">
        <v>350</v>
      </c>
      <c r="D268" s="8" t="s">
        <v>1193</v>
      </c>
      <c r="E268" s="9">
        <v>46316.620868055557</v>
      </c>
      <c r="F268" s="8" t="s">
        <v>1208</v>
      </c>
    </row>
    <row r="269" spans="1:6" ht="40.5">
      <c r="A269" s="8" t="s">
        <v>1194</v>
      </c>
      <c r="B269" s="8" t="s">
        <v>1142</v>
      </c>
      <c r="C269" s="8" t="s">
        <v>350</v>
      </c>
      <c r="D269" s="8" t="s">
        <v>1195</v>
      </c>
      <c r="E269" s="9">
        <v>46316.621030092596</v>
      </c>
      <c r="F269" s="8" t="s">
        <v>1209</v>
      </c>
    </row>
    <row r="270" spans="1:6" ht="27">
      <c r="A270" s="8" t="s">
        <v>1214</v>
      </c>
      <c r="B270" s="8" t="s">
        <v>1210</v>
      </c>
      <c r="C270" s="8" t="s">
        <v>350</v>
      </c>
      <c r="D270" s="8" t="s">
        <v>1215</v>
      </c>
      <c r="E270" s="9">
        <v>46316.669074074074</v>
      </c>
      <c r="F270" s="8" t="s">
        <v>1248</v>
      </c>
    </row>
    <row r="271" spans="1:6" ht="27">
      <c r="A271" s="8" t="s">
        <v>1216</v>
      </c>
      <c r="B271" s="8" t="s">
        <v>1210</v>
      </c>
      <c r="C271" s="8" t="s">
        <v>350</v>
      </c>
      <c r="D271" s="8" t="s">
        <v>1217</v>
      </c>
      <c r="E271" s="9">
        <v>46316.670219907406</v>
      </c>
      <c r="F271" s="8" t="s">
        <v>1249</v>
      </c>
    </row>
    <row r="272" spans="1:6" ht="27">
      <c r="A272" s="8" t="s">
        <v>1218</v>
      </c>
      <c r="B272" s="8" t="s">
        <v>1210</v>
      </c>
      <c r="C272" s="8" t="s">
        <v>350</v>
      </c>
      <c r="D272" s="8" t="s">
        <v>1219</v>
      </c>
      <c r="E272" s="9">
        <v>46316.67046296296</v>
      </c>
      <c r="F272" s="8" t="s">
        <v>1250</v>
      </c>
    </row>
    <row r="273" spans="1:6" ht="27">
      <c r="A273" s="8" t="s">
        <v>1220</v>
      </c>
      <c r="B273" s="8" t="s">
        <v>1210</v>
      </c>
      <c r="C273" s="8" t="s">
        <v>350</v>
      </c>
      <c r="D273" s="8" t="s">
        <v>1221</v>
      </c>
      <c r="E273" s="9">
        <v>46316.670682870368</v>
      </c>
      <c r="F273" s="8" t="s">
        <v>1251</v>
      </c>
    </row>
    <row r="274" spans="1:6" ht="27">
      <c r="A274" s="8" t="s">
        <v>1222</v>
      </c>
      <c r="B274" s="8" t="s">
        <v>1210</v>
      </c>
      <c r="C274" s="8" t="s">
        <v>350</v>
      </c>
      <c r="D274" s="8" t="s">
        <v>1223</v>
      </c>
      <c r="E274" s="9">
        <v>46316.671481481484</v>
      </c>
      <c r="F274" s="8" t="s">
        <v>1252</v>
      </c>
    </row>
    <row r="275" spans="1:6" ht="27">
      <c r="A275" s="8" t="s">
        <v>1224</v>
      </c>
      <c r="B275" s="8" t="s">
        <v>1210</v>
      </c>
      <c r="C275" s="8" t="s">
        <v>350</v>
      </c>
      <c r="D275" s="8" t="s">
        <v>1225</v>
      </c>
      <c r="E275" s="9">
        <v>46316.671643518515</v>
      </c>
      <c r="F275" s="8" t="s">
        <v>1253</v>
      </c>
    </row>
    <row r="276" spans="1:6" ht="27">
      <c r="A276" s="8" t="s">
        <v>1226</v>
      </c>
      <c r="B276" s="8" t="s">
        <v>1210</v>
      </c>
      <c r="C276" s="8" t="s">
        <v>350</v>
      </c>
      <c r="D276" s="8" t="s">
        <v>1227</v>
      </c>
      <c r="E276" s="9">
        <v>46316.672395833331</v>
      </c>
      <c r="F276" s="8" t="s">
        <v>1254</v>
      </c>
    </row>
    <row r="277" spans="1:6" ht="27">
      <c r="A277" s="8" t="s">
        <v>1228</v>
      </c>
      <c r="B277" s="8" t="s">
        <v>1210</v>
      </c>
      <c r="C277" s="8" t="s">
        <v>350</v>
      </c>
      <c r="D277" s="8" t="s">
        <v>1229</v>
      </c>
      <c r="E277" s="9">
        <v>46316.672638888886</v>
      </c>
      <c r="F277" s="8" t="s">
        <v>1255</v>
      </c>
    </row>
    <row r="278" spans="1:6" ht="27">
      <c r="A278" s="8" t="s">
        <v>1230</v>
      </c>
      <c r="B278" s="8" t="s">
        <v>1210</v>
      </c>
      <c r="C278" s="8" t="s">
        <v>350</v>
      </c>
      <c r="D278" s="8" t="s">
        <v>1231</v>
      </c>
      <c r="E278" s="9">
        <v>46316.673506944448</v>
      </c>
      <c r="F278" s="8" t="s">
        <v>1256</v>
      </c>
    </row>
    <row r="279" spans="1:6">
      <c r="A279" s="8" t="s">
        <v>1232</v>
      </c>
      <c r="B279" s="8" t="s">
        <v>1210</v>
      </c>
      <c r="C279" s="8" t="s">
        <v>350</v>
      </c>
      <c r="D279" s="8" t="s">
        <v>1233</v>
      </c>
      <c r="E279" s="9">
        <v>46316.673622685186</v>
      </c>
      <c r="F279" s="8" t="s">
        <v>1234</v>
      </c>
    </row>
    <row r="280" spans="1:6">
      <c r="A280" s="8" t="s">
        <v>1235</v>
      </c>
      <c r="B280" s="8" t="s">
        <v>1210</v>
      </c>
      <c r="C280" s="8" t="s">
        <v>350</v>
      </c>
      <c r="D280" s="8" t="s">
        <v>1236</v>
      </c>
      <c r="E280" s="9">
        <v>46316.67396990741</v>
      </c>
      <c r="F280" s="8" t="s">
        <v>1237</v>
      </c>
    </row>
    <row r="281" spans="1:6" ht="27">
      <c r="A281" s="8" t="s">
        <v>1238</v>
      </c>
      <c r="B281" s="8" t="s">
        <v>1210</v>
      </c>
      <c r="C281" s="8" t="s">
        <v>350</v>
      </c>
      <c r="D281" s="8" t="s">
        <v>1239</v>
      </c>
      <c r="E281" s="9">
        <v>46316.67423611111</v>
      </c>
      <c r="F281" s="8" t="s">
        <v>1257</v>
      </c>
    </row>
    <row r="282" spans="1:6">
      <c r="A282" s="8" t="s">
        <v>1240</v>
      </c>
      <c r="B282" s="8" t="s">
        <v>1210</v>
      </c>
      <c r="C282" s="8" t="s">
        <v>350</v>
      </c>
      <c r="D282" s="8" t="s">
        <v>1241</v>
      </c>
      <c r="E282" s="9">
        <v>46316.674409722225</v>
      </c>
      <c r="F282" s="8" t="s">
        <v>1242</v>
      </c>
    </row>
    <row r="283" spans="1:6" ht="54">
      <c r="A283" s="8" t="s">
        <v>1211</v>
      </c>
      <c r="B283" s="8" t="s">
        <v>1210</v>
      </c>
      <c r="C283" s="8" t="s">
        <v>415</v>
      </c>
      <c r="D283" s="8" t="s">
        <v>1243</v>
      </c>
      <c r="E283" s="9">
        <v>46316.674467592595</v>
      </c>
      <c r="F283" s="8" t="s">
        <v>1258</v>
      </c>
    </row>
    <row r="284" spans="1:6" ht="54">
      <c r="A284" s="8" t="s">
        <v>1244</v>
      </c>
      <c r="B284" s="8" t="s">
        <v>1210</v>
      </c>
      <c r="C284" s="8" t="s">
        <v>145</v>
      </c>
      <c r="D284" s="8" t="s">
        <v>1245</v>
      </c>
      <c r="E284" s="9">
        <v>46316.670844907407</v>
      </c>
      <c r="F284" s="8" t="s">
        <v>1259</v>
      </c>
    </row>
    <row r="285" spans="1:6" ht="54">
      <c r="A285" s="8" t="s">
        <v>1246</v>
      </c>
      <c r="B285" s="8" t="s">
        <v>1210</v>
      </c>
      <c r="C285" s="8" t="s">
        <v>145</v>
      </c>
      <c r="D285" s="8" t="s">
        <v>1247</v>
      </c>
      <c r="E285" s="9">
        <v>46316.673819444448</v>
      </c>
      <c r="F285" s="8" t="s">
        <v>1260</v>
      </c>
    </row>
    <row r="286" spans="1:6">
      <c r="A286" s="8" t="s">
        <v>1265</v>
      </c>
      <c r="B286" s="8" t="s">
        <v>1261</v>
      </c>
      <c r="C286" s="8" t="s">
        <v>350</v>
      </c>
      <c r="D286" s="8" t="s">
        <v>1266</v>
      </c>
      <c r="E286" s="9">
        <v>46316.816990740743</v>
      </c>
      <c r="F286" s="8" t="s">
        <v>1267</v>
      </c>
    </row>
    <row r="287" spans="1:6" ht="27">
      <c r="A287" s="8" t="s">
        <v>1268</v>
      </c>
      <c r="B287" s="8" t="s">
        <v>1261</v>
      </c>
      <c r="C287" s="8" t="s">
        <v>350</v>
      </c>
      <c r="D287" s="8" t="s">
        <v>1269</v>
      </c>
      <c r="E287" s="9">
        <v>46316.817280092589</v>
      </c>
      <c r="F287" s="8" t="s">
        <v>1322</v>
      </c>
    </row>
    <row r="288" spans="1:6" ht="27">
      <c r="A288" s="8" t="s">
        <v>1270</v>
      </c>
      <c r="B288" s="8" t="s">
        <v>1261</v>
      </c>
      <c r="C288" s="8" t="s">
        <v>350</v>
      </c>
      <c r="D288" s="8" t="s">
        <v>1271</v>
      </c>
      <c r="E288" s="9">
        <v>46316.818148148152</v>
      </c>
      <c r="F288" s="8" t="s">
        <v>1323</v>
      </c>
    </row>
    <row r="289" spans="1:6">
      <c r="A289" s="8" t="s">
        <v>1272</v>
      </c>
      <c r="B289" s="8" t="s">
        <v>1261</v>
      </c>
      <c r="C289" s="8" t="s">
        <v>350</v>
      </c>
      <c r="D289" s="8" t="s">
        <v>1273</v>
      </c>
      <c r="E289" s="9">
        <v>46316.818425925929</v>
      </c>
      <c r="F289" s="8" t="s">
        <v>1274</v>
      </c>
    </row>
    <row r="290" spans="1:6">
      <c r="A290" s="8" t="s">
        <v>1275</v>
      </c>
      <c r="B290" s="8" t="s">
        <v>1261</v>
      </c>
      <c r="C290" s="8" t="s">
        <v>350</v>
      </c>
      <c r="D290" s="8" t="s">
        <v>1276</v>
      </c>
      <c r="E290" s="9">
        <v>46316.818599537037</v>
      </c>
      <c r="F290" s="8" t="s">
        <v>1277</v>
      </c>
    </row>
    <row r="291" spans="1:6" ht="40.5">
      <c r="A291" s="8" t="s">
        <v>1278</v>
      </c>
      <c r="B291" s="8" t="s">
        <v>1261</v>
      </c>
      <c r="C291" s="8" t="s">
        <v>350</v>
      </c>
      <c r="D291" s="8" t="s">
        <v>1279</v>
      </c>
      <c r="E291" s="9">
        <v>46316.81927083333</v>
      </c>
      <c r="F291" s="8" t="s">
        <v>1324</v>
      </c>
    </row>
    <row r="292" spans="1:6" ht="40.5">
      <c r="A292" s="8" t="s">
        <v>1280</v>
      </c>
      <c r="B292" s="8" t="s">
        <v>1261</v>
      </c>
      <c r="C292" s="8" t="s">
        <v>350</v>
      </c>
      <c r="D292" s="8" t="s">
        <v>1281</v>
      </c>
      <c r="E292" s="9">
        <v>46316.819421296299</v>
      </c>
      <c r="F292" s="8" t="s">
        <v>1325</v>
      </c>
    </row>
    <row r="293" spans="1:6">
      <c r="A293" s="8" t="s">
        <v>1282</v>
      </c>
      <c r="B293" s="8" t="s">
        <v>1261</v>
      </c>
      <c r="C293" s="8" t="s">
        <v>350</v>
      </c>
      <c r="D293" s="8" t="s">
        <v>1283</v>
      </c>
      <c r="E293" s="9">
        <v>46316.819733796299</v>
      </c>
      <c r="F293" s="8" t="s">
        <v>1284</v>
      </c>
    </row>
    <row r="294" spans="1:6">
      <c r="A294" s="8" t="s">
        <v>1285</v>
      </c>
      <c r="B294" s="8" t="s">
        <v>1261</v>
      </c>
      <c r="C294" s="8" t="s">
        <v>350</v>
      </c>
      <c r="D294" s="8" t="s">
        <v>1286</v>
      </c>
      <c r="E294" s="9">
        <v>46316.819861111115</v>
      </c>
      <c r="F294" s="8" t="s">
        <v>1287</v>
      </c>
    </row>
    <row r="295" spans="1:6" ht="40.5">
      <c r="A295" s="8" t="s">
        <v>1288</v>
      </c>
      <c r="B295" s="8" t="s">
        <v>1261</v>
      </c>
      <c r="C295" s="8" t="s">
        <v>350</v>
      </c>
      <c r="D295" s="8" t="s">
        <v>1289</v>
      </c>
      <c r="E295" s="9">
        <v>46316.820833333331</v>
      </c>
      <c r="F295" s="8" t="s">
        <v>1326</v>
      </c>
    </row>
    <row r="296" spans="1:6" ht="27">
      <c r="A296" s="8" t="s">
        <v>1290</v>
      </c>
      <c r="B296" s="8" t="s">
        <v>1261</v>
      </c>
      <c r="C296" s="8" t="s">
        <v>350</v>
      </c>
      <c r="D296" s="8" t="s">
        <v>1291</v>
      </c>
      <c r="E296" s="9">
        <v>46316.821122685185</v>
      </c>
      <c r="F296" s="8" t="s">
        <v>1327</v>
      </c>
    </row>
    <row r="297" spans="1:6">
      <c r="A297" s="8" t="s">
        <v>1292</v>
      </c>
      <c r="B297" s="8" t="s">
        <v>1261</v>
      </c>
      <c r="C297" s="8" t="s">
        <v>350</v>
      </c>
      <c r="D297" s="8" t="s">
        <v>1293</v>
      </c>
      <c r="E297" s="9">
        <v>46316.821261574078</v>
      </c>
      <c r="F297" s="8" t="s">
        <v>1294</v>
      </c>
    </row>
    <row r="298" spans="1:6" ht="27">
      <c r="A298" s="8" t="s">
        <v>1295</v>
      </c>
      <c r="B298" s="8" t="s">
        <v>1261</v>
      </c>
      <c r="C298" s="8" t="s">
        <v>350</v>
      </c>
      <c r="D298" s="8" t="s">
        <v>1296</v>
      </c>
      <c r="E298" s="9">
        <v>46316.822129629632</v>
      </c>
      <c r="F298" s="8" t="s">
        <v>1328</v>
      </c>
    </row>
    <row r="299" spans="1:6" ht="27">
      <c r="A299" s="8" t="s">
        <v>1297</v>
      </c>
      <c r="B299" s="8" t="s">
        <v>1261</v>
      </c>
      <c r="C299" s="8" t="s">
        <v>350</v>
      </c>
      <c r="D299" s="8" t="s">
        <v>1298</v>
      </c>
      <c r="E299" s="9">
        <v>46316.822696759256</v>
      </c>
      <c r="F299" s="8" t="s">
        <v>1329</v>
      </c>
    </row>
    <row r="300" spans="1:6" ht="27">
      <c r="A300" s="8" t="s">
        <v>1299</v>
      </c>
      <c r="B300" s="8" t="s">
        <v>1261</v>
      </c>
      <c r="C300" s="8" t="s">
        <v>350</v>
      </c>
      <c r="D300" s="8" t="s">
        <v>1300</v>
      </c>
      <c r="E300" s="9">
        <v>46316.822916666664</v>
      </c>
      <c r="F300" s="8" t="s">
        <v>1330</v>
      </c>
    </row>
    <row r="301" spans="1:6">
      <c r="A301" s="8" t="s">
        <v>1301</v>
      </c>
      <c r="B301" s="8" t="s">
        <v>1261</v>
      </c>
      <c r="C301" s="8" t="s">
        <v>350</v>
      </c>
      <c r="D301" s="8" t="s">
        <v>1302</v>
      </c>
      <c r="E301" s="9">
        <v>46316.823159722226</v>
      </c>
      <c r="F301" s="8" t="s">
        <v>1303</v>
      </c>
    </row>
    <row r="302" spans="1:6">
      <c r="A302" s="8" t="s">
        <v>1304</v>
      </c>
      <c r="B302" s="8" t="s">
        <v>1261</v>
      </c>
      <c r="C302" s="8" t="s">
        <v>350</v>
      </c>
      <c r="D302" s="8" t="s">
        <v>1305</v>
      </c>
      <c r="E302" s="9">
        <v>46316.823298611111</v>
      </c>
      <c r="F302" s="8" t="s">
        <v>1306</v>
      </c>
    </row>
    <row r="303" spans="1:6" ht="27">
      <c r="A303" s="8" t="s">
        <v>1307</v>
      </c>
      <c r="B303" s="8" t="s">
        <v>1261</v>
      </c>
      <c r="C303" s="8" t="s">
        <v>350</v>
      </c>
      <c r="D303" s="8" t="s">
        <v>1308</v>
      </c>
      <c r="E303" s="9">
        <v>46316.823495370372</v>
      </c>
      <c r="F303" s="8" t="s">
        <v>1331</v>
      </c>
    </row>
    <row r="304" spans="1:6" ht="40.5">
      <c r="A304" s="8" t="s">
        <v>1309</v>
      </c>
      <c r="B304" s="8" t="s">
        <v>1261</v>
      </c>
      <c r="C304" s="8" t="s">
        <v>350</v>
      </c>
      <c r="D304" s="8" t="s">
        <v>1310</v>
      </c>
      <c r="E304" s="9">
        <v>46316.823657407411</v>
      </c>
      <c r="F304" s="8" t="s">
        <v>1332</v>
      </c>
    </row>
    <row r="305" spans="1:6">
      <c r="A305" s="8" t="s">
        <v>1311</v>
      </c>
      <c r="B305" s="8" t="s">
        <v>1261</v>
      </c>
      <c r="C305" s="8" t="s">
        <v>350</v>
      </c>
      <c r="D305" s="8" t="s">
        <v>1312</v>
      </c>
      <c r="E305" s="9">
        <v>46316.823888888888</v>
      </c>
      <c r="F305" s="8" t="s">
        <v>1313</v>
      </c>
    </row>
    <row r="306" spans="1:6">
      <c r="A306" s="8" t="s">
        <v>1314</v>
      </c>
      <c r="B306" s="8" t="s">
        <v>1261</v>
      </c>
      <c r="C306" s="8" t="s">
        <v>350</v>
      </c>
      <c r="D306" s="8" t="s">
        <v>1315</v>
      </c>
      <c r="E306" s="9">
        <v>46316.824120370373</v>
      </c>
      <c r="F306" s="8" t="s">
        <v>1316</v>
      </c>
    </row>
    <row r="307" spans="1:6" ht="27">
      <c r="A307" s="8" t="s">
        <v>1317</v>
      </c>
      <c r="B307" s="8" t="s">
        <v>1261</v>
      </c>
      <c r="C307" s="8" t="s">
        <v>350</v>
      </c>
      <c r="D307" s="8" t="s">
        <v>1318</v>
      </c>
      <c r="E307" s="9">
        <v>46316.824317129627</v>
      </c>
      <c r="F307" s="8" t="s">
        <v>1333</v>
      </c>
    </row>
    <row r="308" spans="1:6" ht="67.5">
      <c r="A308" s="8" t="s">
        <v>1262</v>
      </c>
      <c r="B308" s="8" t="s">
        <v>1261</v>
      </c>
      <c r="C308" s="8" t="s">
        <v>415</v>
      </c>
      <c r="D308" s="8" t="s">
        <v>1319</v>
      </c>
      <c r="E308" s="9">
        <v>46316.824374999997</v>
      </c>
      <c r="F308" s="8" t="s">
        <v>1334</v>
      </c>
    </row>
    <row r="309" spans="1:6" ht="40.5">
      <c r="A309" s="8" t="s">
        <v>1320</v>
      </c>
      <c r="B309" s="8" t="s">
        <v>1261</v>
      </c>
      <c r="C309" s="8" t="s">
        <v>145</v>
      </c>
      <c r="D309" s="8" t="s">
        <v>1321</v>
      </c>
      <c r="E309" s="9">
        <v>46316.823773148149</v>
      </c>
      <c r="F309" s="8" t="s">
        <v>1335</v>
      </c>
    </row>
    <row r="310" spans="1:6" ht="27">
      <c r="A310" s="8" t="s">
        <v>1340</v>
      </c>
      <c r="B310" s="8" t="s">
        <v>1336</v>
      </c>
      <c r="C310" s="8" t="s">
        <v>350</v>
      </c>
      <c r="D310" s="8" t="s">
        <v>1341</v>
      </c>
      <c r="E310" s="9">
        <v>46316.853472222225</v>
      </c>
      <c r="F310" s="8" t="s">
        <v>1390</v>
      </c>
    </row>
    <row r="311" spans="1:6" ht="27">
      <c r="A311" s="8" t="s">
        <v>1342</v>
      </c>
      <c r="B311" s="8" t="s">
        <v>1336</v>
      </c>
      <c r="C311" s="8" t="s">
        <v>350</v>
      </c>
      <c r="D311" s="8" t="s">
        <v>1343</v>
      </c>
      <c r="E311" s="9">
        <v>46316.85361111111</v>
      </c>
      <c r="F311" s="8" t="s">
        <v>1391</v>
      </c>
    </row>
    <row r="312" spans="1:6" ht="27">
      <c r="A312" s="8" t="s">
        <v>1344</v>
      </c>
      <c r="B312" s="8" t="s">
        <v>1336</v>
      </c>
      <c r="C312" s="8" t="s">
        <v>350</v>
      </c>
      <c r="D312" s="8" t="s">
        <v>1345</v>
      </c>
      <c r="E312" s="9">
        <v>46316.854108796295</v>
      </c>
      <c r="F312" s="8" t="s">
        <v>1392</v>
      </c>
    </row>
    <row r="313" spans="1:6">
      <c r="A313" s="8" t="s">
        <v>1346</v>
      </c>
      <c r="B313" s="8" t="s">
        <v>1336</v>
      </c>
      <c r="C313" s="8" t="s">
        <v>350</v>
      </c>
      <c r="D313" s="8" t="s">
        <v>1347</v>
      </c>
      <c r="E313" s="9">
        <v>46316.855034722219</v>
      </c>
      <c r="F313" s="8" t="s">
        <v>1348</v>
      </c>
    </row>
    <row r="314" spans="1:6">
      <c r="A314" s="8" t="s">
        <v>1349</v>
      </c>
      <c r="B314" s="8" t="s">
        <v>1336</v>
      </c>
      <c r="C314" s="8" t="s">
        <v>350</v>
      </c>
      <c r="D314" s="8" t="s">
        <v>1350</v>
      </c>
      <c r="E314" s="9">
        <v>46316.855196759258</v>
      </c>
      <c r="F314" s="8" t="s">
        <v>1351</v>
      </c>
    </row>
    <row r="315" spans="1:6" ht="27">
      <c r="A315" s="8" t="s">
        <v>1352</v>
      </c>
      <c r="B315" s="8" t="s">
        <v>1336</v>
      </c>
      <c r="C315" s="8" t="s">
        <v>350</v>
      </c>
      <c r="D315" s="8" t="s">
        <v>1353</v>
      </c>
      <c r="E315" s="9">
        <v>46316.855636574073</v>
      </c>
      <c r="F315" s="8" t="s">
        <v>1393</v>
      </c>
    </row>
    <row r="316" spans="1:6" ht="40.5">
      <c r="A316" s="8" t="s">
        <v>1354</v>
      </c>
      <c r="B316" s="8" t="s">
        <v>1336</v>
      </c>
      <c r="C316" s="8" t="s">
        <v>350</v>
      </c>
      <c r="D316" s="8" t="s">
        <v>1355</v>
      </c>
      <c r="E316" s="9">
        <v>46316.855821759258</v>
      </c>
      <c r="F316" s="8" t="s">
        <v>1394</v>
      </c>
    </row>
    <row r="317" spans="1:6" ht="40.5">
      <c r="A317" s="8" t="s">
        <v>1356</v>
      </c>
      <c r="B317" s="8" t="s">
        <v>1336</v>
      </c>
      <c r="C317" s="8" t="s">
        <v>350</v>
      </c>
      <c r="D317" s="8" t="s">
        <v>1357</v>
      </c>
      <c r="E317" s="9">
        <v>46316.85597222222</v>
      </c>
      <c r="F317" s="8" t="s">
        <v>1395</v>
      </c>
    </row>
    <row r="318" spans="1:6" ht="40.5">
      <c r="A318" s="8" t="s">
        <v>1358</v>
      </c>
      <c r="B318" s="8" t="s">
        <v>1336</v>
      </c>
      <c r="C318" s="8" t="s">
        <v>350</v>
      </c>
      <c r="D318" s="8" t="s">
        <v>1359</v>
      </c>
      <c r="E318" s="9">
        <v>46316.85633101852</v>
      </c>
      <c r="F318" s="8" t="s">
        <v>1396</v>
      </c>
    </row>
    <row r="319" spans="1:6" ht="27">
      <c r="A319" s="8" t="s">
        <v>1360</v>
      </c>
      <c r="B319" s="8" t="s">
        <v>1336</v>
      </c>
      <c r="C319" s="8" t="s">
        <v>350</v>
      </c>
      <c r="D319" s="8" t="s">
        <v>1361</v>
      </c>
      <c r="E319" s="9">
        <v>46316.856608796297</v>
      </c>
      <c r="F319" s="8" t="s">
        <v>1397</v>
      </c>
    </row>
    <row r="320" spans="1:6" ht="27">
      <c r="A320" s="8" t="s">
        <v>1362</v>
      </c>
      <c r="B320" s="8" t="s">
        <v>1336</v>
      </c>
      <c r="C320" s="8" t="s">
        <v>350</v>
      </c>
      <c r="D320" s="8" t="s">
        <v>1363</v>
      </c>
      <c r="E320" s="9">
        <v>46316.857268518521</v>
      </c>
      <c r="F320" s="8" t="s">
        <v>1398</v>
      </c>
    </row>
    <row r="321" spans="1:6" ht="27">
      <c r="A321" s="8" t="s">
        <v>1364</v>
      </c>
      <c r="B321" s="8" t="s">
        <v>1336</v>
      </c>
      <c r="C321" s="8" t="s">
        <v>350</v>
      </c>
      <c r="D321" s="8" t="s">
        <v>1365</v>
      </c>
      <c r="E321" s="9">
        <v>46316.858229166668</v>
      </c>
      <c r="F321" s="8" t="s">
        <v>1399</v>
      </c>
    </row>
    <row r="322" spans="1:6">
      <c r="A322" s="8" t="s">
        <v>1366</v>
      </c>
      <c r="B322" s="8" t="s">
        <v>1336</v>
      </c>
      <c r="C322" s="8" t="s">
        <v>350</v>
      </c>
      <c r="D322" s="8" t="s">
        <v>1367</v>
      </c>
      <c r="E322" s="9">
        <v>46316.858368055553</v>
      </c>
      <c r="F322" s="8" t="s">
        <v>1368</v>
      </c>
    </row>
    <row r="323" spans="1:6" ht="27">
      <c r="A323" s="8" t="s">
        <v>1369</v>
      </c>
      <c r="B323" s="8" t="s">
        <v>1336</v>
      </c>
      <c r="C323" s="8" t="s">
        <v>350</v>
      </c>
      <c r="D323" s="8" t="s">
        <v>1370</v>
      </c>
      <c r="E323" s="9">
        <v>46316.858506944445</v>
      </c>
      <c r="F323" s="8" t="s">
        <v>1400</v>
      </c>
    </row>
    <row r="324" spans="1:6">
      <c r="A324" s="8" t="s">
        <v>1371</v>
      </c>
      <c r="B324" s="8" t="s">
        <v>1336</v>
      </c>
      <c r="C324" s="8" t="s">
        <v>350</v>
      </c>
      <c r="D324" s="8" t="s">
        <v>1372</v>
      </c>
      <c r="E324" s="9">
        <v>46316.858703703707</v>
      </c>
      <c r="F324" s="8" t="s">
        <v>1373</v>
      </c>
    </row>
    <row r="325" spans="1:6">
      <c r="A325" s="8" t="s">
        <v>1374</v>
      </c>
      <c r="B325" s="8" t="s">
        <v>1336</v>
      </c>
      <c r="C325" s="8" t="s">
        <v>350</v>
      </c>
      <c r="D325" s="8" t="s">
        <v>1375</v>
      </c>
      <c r="E325" s="9">
        <v>46316.858877314815</v>
      </c>
      <c r="F325" s="8" t="s">
        <v>1376</v>
      </c>
    </row>
    <row r="326" spans="1:6" ht="27">
      <c r="A326" s="8" t="s">
        <v>1377</v>
      </c>
      <c r="B326" s="8" t="s">
        <v>1336</v>
      </c>
      <c r="C326" s="8" t="s">
        <v>350</v>
      </c>
      <c r="D326" s="8" t="s">
        <v>1378</v>
      </c>
      <c r="E326" s="9">
        <v>46316.859097222223</v>
      </c>
      <c r="F326" s="8" t="s">
        <v>1401</v>
      </c>
    </row>
    <row r="327" spans="1:6" ht="27">
      <c r="A327" s="8" t="s">
        <v>1379</v>
      </c>
      <c r="B327" s="8" t="s">
        <v>1336</v>
      </c>
      <c r="C327" s="8" t="s">
        <v>350</v>
      </c>
      <c r="D327" s="8" t="s">
        <v>1380</v>
      </c>
      <c r="E327" s="9">
        <v>46316.859317129631</v>
      </c>
      <c r="F327" s="8" t="s">
        <v>1402</v>
      </c>
    </row>
    <row r="328" spans="1:6">
      <c r="A328" s="8" t="s">
        <v>1381</v>
      </c>
      <c r="B328" s="8" t="s">
        <v>1336</v>
      </c>
      <c r="C328" s="8" t="s">
        <v>350</v>
      </c>
      <c r="D328" s="8" t="s">
        <v>1382</v>
      </c>
      <c r="E328" s="9">
        <v>46316.859722222223</v>
      </c>
      <c r="F328" s="8" t="s">
        <v>1383</v>
      </c>
    </row>
    <row r="329" spans="1:6">
      <c r="A329" s="8" t="s">
        <v>1384</v>
      </c>
      <c r="B329" s="8" t="s">
        <v>1336</v>
      </c>
      <c r="C329" s="8" t="s">
        <v>350</v>
      </c>
      <c r="D329" s="8" t="s">
        <v>1385</v>
      </c>
      <c r="E329" s="9">
        <v>46316.859849537039</v>
      </c>
      <c r="F329" s="8" t="s">
        <v>1386</v>
      </c>
    </row>
    <row r="330" spans="1:6" ht="67.5">
      <c r="A330" s="8" t="s">
        <v>1337</v>
      </c>
      <c r="B330" s="8" t="s">
        <v>1336</v>
      </c>
      <c r="C330" s="8" t="s">
        <v>415</v>
      </c>
      <c r="D330" s="8" t="s">
        <v>1387</v>
      </c>
      <c r="E330" s="9">
        <v>46316.859895833331</v>
      </c>
      <c r="F330" s="8" t="s">
        <v>1403</v>
      </c>
    </row>
    <row r="331" spans="1:6" ht="54">
      <c r="A331" s="8" t="s">
        <v>1388</v>
      </c>
      <c r="B331" s="8" t="s">
        <v>1336</v>
      </c>
      <c r="C331" s="8" t="s">
        <v>145</v>
      </c>
      <c r="D331" s="8" t="s">
        <v>1389</v>
      </c>
      <c r="E331" s="9">
        <v>46316.859189814815</v>
      </c>
      <c r="F331" s="8" t="s">
        <v>1404</v>
      </c>
    </row>
    <row r="332" spans="1:6">
      <c r="A332" s="8" t="s">
        <v>1409</v>
      </c>
      <c r="B332" s="8" t="s">
        <v>1405</v>
      </c>
      <c r="C332" s="8" t="s">
        <v>350</v>
      </c>
      <c r="D332" s="8" t="s">
        <v>1410</v>
      </c>
      <c r="E332" s="9">
        <v>46316.878472222219</v>
      </c>
      <c r="F332" s="8" t="s">
        <v>1411</v>
      </c>
    </row>
    <row r="333" spans="1:6" ht="27">
      <c r="A333" s="8" t="s">
        <v>1412</v>
      </c>
      <c r="B333" s="8" t="s">
        <v>1405</v>
      </c>
      <c r="C333" s="8" t="s">
        <v>350</v>
      </c>
      <c r="D333" s="8" t="s">
        <v>1413</v>
      </c>
      <c r="E333" s="9">
        <v>46316.878611111111</v>
      </c>
      <c r="F333" s="8" t="s">
        <v>1460</v>
      </c>
    </row>
    <row r="334" spans="1:6" ht="27">
      <c r="A334" s="8" t="s">
        <v>1414</v>
      </c>
      <c r="B334" s="8" t="s">
        <v>1405</v>
      </c>
      <c r="C334" s="8" t="s">
        <v>350</v>
      </c>
      <c r="D334" s="8" t="s">
        <v>1415</v>
      </c>
      <c r="E334" s="9">
        <v>46316.878738425927</v>
      </c>
      <c r="F334" s="8" t="s">
        <v>1459</v>
      </c>
    </row>
    <row r="335" spans="1:6" ht="27">
      <c r="A335" s="8" t="s">
        <v>1416</v>
      </c>
      <c r="B335" s="8" t="s">
        <v>1405</v>
      </c>
      <c r="C335" s="8" t="s">
        <v>350</v>
      </c>
      <c r="D335" s="8" t="s">
        <v>1417</v>
      </c>
      <c r="E335" s="9">
        <v>46316.878877314812</v>
      </c>
      <c r="F335" s="8" t="s">
        <v>1461</v>
      </c>
    </row>
    <row r="336" spans="1:6" ht="27">
      <c r="A336" s="8" t="s">
        <v>1418</v>
      </c>
      <c r="B336" s="8" t="s">
        <v>1405</v>
      </c>
      <c r="C336" s="8" t="s">
        <v>350</v>
      </c>
      <c r="D336" s="8" t="s">
        <v>1419</v>
      </c>
      <c r="E336" s="9">
        <v>46316.879189814812</v>
      </c>
      <c r="F336" s="8" t="s">
        <v>1462</v>
      </c>
    </row>
    <row r="337" spans="1:6" ht="27">
      <c r="A337" s="8" t="s">
        <v>1420</v>
      </c>
      <c r="B337" s="8" t="s">
        <v>1405</v>
      </c>
      <c r="C337" s="8" t="s">
        <v>350</v>
      </c>
      <c r="D337" s="8" t="s">
        <v>1421</v>
      </c>
      <c r="E337" s="9">
        <v>46316.879328703704</v>
      </c>
      <c r="F337" s="8" t="s">
        <v>1463</v>
      </c>
    </row>
    <row r="338" spans="1:6" ht="40.5">
      <c r="A338" s="8" t="s">
        <v>1422</v>
      </c>
      <c r="B338" s="8" t="s">
        <v>1405</v>
      </c>
      <c r="C338" s="8" t="s">
        <v>350</v>
      </c>
      <c r="D338" s="8" t="s">
        <v>1423</v>
      </c>
      <c r="E338" s="9">
        <v>46316.880254629628</v>
      </c>
      <c r="F338" s="8" t="s">
        <v>1464</v>
      </c>
    </row>
    <row r="339" spans="1:6" ht="27">
      <c r="A339" s="8" t="s">
        <v>1424</v>
      </c>
      <c r="B339" s="8" t="s">
        <v>1405</v>
      </c>
      <c r="C339" s="8" t="s">
        <v>350</v>
      </c>
      <c r="D339" s="8" t="s">
        <v>1425</v>
      </c>
      <c r="E339" s="9">
        <v>46316.880416666667</v>
      </c>
      <c r="F339" s="8" t="s">
        <v>1465</v>
      </c>
    </row>
    <row r="340" spans="1:6" ht="40.5">
      <c r="A340" s="8" t="s">
        <v>1426</v>
      </c>
      <c r="B340" s="8" t="s">
        <v>1405</v>
      </c>
      <c r="C340" s="8" t="s">
        <v>350</v>
      </c>
      <c r="D340" s="8" t="s">
        <v>1427</v>
      </c>
      <c r="E340" s="9">
        <v>46316.880555555559</v>
      </c>
      <c r="F340" s="8" t="s">
        <v>1466</v>
      </c>
    </row>
    <row r="341" spans="1:6" ht="27">
      <c r="A341" s="8" t="s">
        <v>1428</v>
      </c>
      <c r="B341" s="8" t="s">
        <v>1405</v>
      </c>
      <c r="C341" s="8" t="s">
        <v>350</v>
      </c>
      <c r="D341" s="8" t="s">
        <v>1429</v>
      </c>
      <c r="E341" s="9">
        <v>46316.880706018521</v>
      </c>
      <c r="F341" s="8" t="s">
        <v>1467</v>
      </c>
    </row>
    <row r="342" spans="1:6" ht="27">
      <c r="A342" s="8" t="s">
        <v>1430</v>
      </c>
      <c r="B342" s="8" t="s">
        <v>1405</v>
      </c>
      <c r="C342" s="8" t="s">
        <v>350</v>
      </c>
      <c r="D342" s="8" t="s">
        <v>1431</v>
      </c>
      <c r="E342" s="9">
        <v>46316.881527777776</v>
      </c>
      <c r="F342" s="8" t="s">
        <v>1468</v>
      </c>
    </row>
    <row r="343" spans="1:6" ht="27">
      <c r="A343" s="8" t="s">
        <v>1432</v>
      </c>
      <c r="B343" s="8" t="s">
        <v>1405</v>
      </c>
      <c r="C343" s="8" t="s">
        <v>350</v>
      </c>
      <c r="D343" s="8" t="s">
        <v>1433</v>
      </c>
      <c r="E343" s="9">
        <v>46316.882025462961</v>
      </c>
      <c r="F343" s="8" t="s">
        <v>1469</v>
      </c>
    </row>
    <row r="344" spans="1:6" ht="27">
      <c r="A344" s="8" t="s">
        <v>1434</v>
      </c>
      <c r="B344" s="8" t="s">
        <v>1405</v>
      </c>
      <c r="C344" s="8" t="s">
        <v>350</v>
      </c>
      <c r="D344" s="8" t="s">
        <v>1435</v>
      </c>
      <c r="E344" s="9">
        <v>46316.883263888885</v>
      </c>
      <c r="F344" s="8" t="s">
        <v>1470</v>
      </c>
    </row>
    <row r="345" spans="1:6" ht="40.5">
      <c r="A345" s="8" t="s">
        <v>1436</v>
      </c>
      <c r="B345" s="8" t="s">
        <v>1405</v>
      </c>
      <c r="C345" s="8" t="s">
        <v>350</v>
      </c>
      <c r="D345" s="8" t="s">
        <v>1437</v>
      </c>
      <c r="E345" s="9">
        <v>46316.883391203701</v>
      </c>
      <c r="F345" s="8" t="s">
        <v>1471</v>
      </c>
    </row>
    <row r="346" spans="1:6" ht="27">
      <c r="A346" s="8" t="s">
        <v>1438</v>
      </c>
      <c r="B346" s="8" t="s">
        <v>1405</v>
      </c>
      <c r="C346" s="8" t="s">
        <v>350</v>
      </c>
      <c r="D346" s="8" t="s">
        <v>1439</v>
      </c>
      <c r="E346" s="9">
        <v>46316.883530092593</v>
      </c>
      <c r="F346" s="8" t="s">
        <v>1472</v>
      </c>
    </row>
    <row r="347" spans="1:6" ht="27">
      <c r="A347" s="8" t="s">
        <v>1440</v>
      </c>
      <c r="B347" s="8" t="s">
        <v>1405</v>
      </c>
      <c r="C347" s="8" t="s">
        <v>350</v>
      </c>
      <c r="D347" s="8" t="s">
        <v>1441</v>
      </c>
      <c r="E347" s="9">
        <v>46316.883668981478</v>
      </c>
      <c r="F347" s="8" t="s">
        <v>1473</v>
      </c>
    </row>
    <row r="348" spans="1:6" ht="27">
      <c r="A348" s="8" t="s">
        <v>1442</v>
      </c>
      <c r="B348" s="8" t="s">
        <v>1405</v>
      </c>
      <c r="C348" s="8" t="s">
        <v>350</v>
      </c>
      <c r="D348" s="8" t="s">
        <v>1443</v>
      </c>
      <c r="E348" s="9">
        <v>46316.883969907409</v>
      </c>
      <c r="F348" s="8" t="s">
        <v>1474</v>
      </c>
    </row>
    <row r="349" spans="1:6">
      <c r="A349" s="8" t="s">
        <v>1444</v>
      </c>
      <c r="B349" s="8" t="s">
        <v>1405</v>
      </c>
      <c r="C349" s="8" t="s">
        <v>350</v>
      </c>
      <c r="D349" s="8" t="s">
        <v>1445</v>
      </c>
      <c r="E349" s="9">
        <v>46316.884201388886</v>
      </c>
      <c r="F349" s="8" t="s">
        <v>1446</v>
      </c>
    </row>
    <row r="350" spans="1:6" ht="27">
      <c r="A350" s="8" t="s">
        <v>1447</v>
      </c>
      <c r="B350" s="8" t="s">
        <v>1405</v>
      </c>
      <c r="C350" s="8" t="s">
        <v>350</v>
      </c>
      <c r="D350" s="8" t="s">
        <v>1448</v>
      </c>
      <c r="E350" s="9">
        <v>46316.885740740741</v>
      </c>
      <c r="F350" s="8" t="s">
        <v>1475</v>
      </c>
    </row>
    <row r="351" spans="1:6">
      <c r="A351" s="8" t="s">
        <v>1449</v>
      </c>
      <c r="B351" s="8" t="s">
        <v>1405</v>
      </c>
      <c r="C351" s="8" t="s">
        <v>350</v>
      </c>
      <c r="D351" s="8" t="s">
        <v>1450</v>
      </c>
      <c r="E351" s="9">
        <v>46316.885949074072</v>
      </c>
      <c r="F351" s="8" t="s">
        <v>1451</v>
      </c>
    </row>
    <row r="352" spans="1:6" ht="27">
      <c r="A352" s="8" t="s">
        <v>1452</v>
      </c>
      <c r="B352" s="8" t="s">
        <v>1405</v>
      </c>
      <c r="C352" s="8" t="s">
        <v>350</v>
      </c>
      <c r="D352" s="8" t="s">
        <v>1453</v>
      </c>
      <c r="E352" s="9">
        <v>46316.88616898148</v>
      </c>
      <c r="F352" s="8" t="s">
        <v>1476</v>
      </c>
    </row>
    <row r="353" spans="1:6" ht="40.5">
      <c r="A353" s="8" t="s">
        <v>1454</v>
      </c>
      <c r="B353" s="8" t="s">
        <v>1405</v>
      </c>
      <c r="C353" s="8" t="s">
        <v>350</v>
      </c>
      <c r="D353" s="8" t="s">
        <v>1455</v>
      </c>
      <c r="E353" s="9">
        <v>46316.886365740742</v>
      </c>
      <c r="F353" s="8" t="s">
        <v>1477</v>
      </c>
    </row>
    <row r="354" spans="1:6" ht="67.5">
      <c r="A354" s="8" t="s">
        <v>1406</v>
      </c>
      <c r="B354" s="8" t="s">
        <v>1405</v>
      </c>
      <c r="C354" s="8" t="s">
        <v>415</v>
      </c>
      <c r="D354" s="8" t="s">
        <v>1456</v>
      </c>
      <c r="E354" s="9">
        <v>46316.886481481481</v>
      </c>
      <c r="F354" s="8" t="s">
        <v>1478</v>
      </c>
    </row>
    <row r="355" spans="1:6" ht="54">
      <c r="A355" s="8" t="s">
        <v>1457</v>
      </c>
      <c r="B355" s="8" t="s">
        <v>1405</v>
      </c>
      <c r="C355" s="8" t="s">
        <v>145</v>
      </c>
      <c r="D355" s="8" t="s">
        <v>1458</v>
      </c>
      <c r="E355" s="9">
        <v>46316.885613425926</v>
      </c>
      <c r="F355" s="8" t="s">
        <v>1479</v>
      </c>
    </row>
    <row r="356" spans="1:6">
      <c r="A356" s="8" t="s">
        <v>1488</v>
      </c>
      <c r="B356" s="8" t="s">
        <v>1480</v>
      </c>
      <c r="C356" s="8" t="s">
        <v>350</v>
      </c>
      <c r="D356" s="8" t="s">
        <v>1489</v>
      </c>
      <c r="E356" s="9">
        <v>46317.014733796299</v>
      </c>
      <c r="F356" s="8" t="s">
        <v>1490</v>
      </c>
    </row>
    <row r="357" spans="1:6">
      <c r="A357" s="8" t="s">
        <v>1491</v>
      </c>
      <c r="B357" s="8" t="s">
        <v>1480</v>
      </c>
      <c r="C357" s="8" t="s">
        <v>350</v>
      </c>
      <c r="D357" s="8" t="s">
        <v>1492</v>
      </c>
      <c r="E357" s="9">
        <v>46317.014861111114</v>
      </c>
      <c r="F357" s="8" t="s">
        <v>1493</v>
      </c>
    </row>
    <row r="358" spans="1:6">
      <c r="A358" s="8" t="s">
        <v>1494</v>
      </c>
      <c r="B358" s="8" t="s">
        <v>1480</v>
      </c>
      <c r="C358" s="8" t="s">
        <v>350</v>
      </c>
      <c r="D358" s="8" t="s">
        <v>1495</v>
      </c>
      <c r="E358" s="9">
        <v>46317.014999999999</v>
      </c>
      <c r="F358" s="8" t="s">
        <v>1496</v>
      </c>
    </row>
    <row r="359" spans="1:6" ht="27">
      <c r="A359" s="8" t="s">
        <v>1497</v>
      </c>
      <c r="B359" s="8" t="s">
        <v>1480</v>
      </c>
      <c r="C359" s="8" t="s">
        <v>350</v>
      </c>
      <c r="D359" s="8" t="s">
        <v>1498</v>
      </c>
      <c r="E359" s="9">
        <v>46317.015185185184</v>
      </c>
      <c r="F359" s="8" t="s">
        <v>1556</v>
      </c>
    </row>
    <row r="360" spans="1:6">
      <c r="A360" s="8" t="s">
        <v>1499</v>
      </c>
      <c r="B360" s="8" t="s">
        <v>1480</v>
      </c>
      <c r="C360" s="8" t="s">
        <v>350</v>
      </c>
      <c r="D360" s="8" t="s">
        <v>1500</v>
      </c>
      <c r="E360" s="9">
        <v>46317.015555555554</v>
      </c>
      <c r="F360" s="8" t="s">
        <v>1501</v>
      </c>
    </row>
    <row r="361" spans="1:6">
      <c r="A361" s="8" t="s">
        <v>1502</v>
      </c>
      <c r="B361" s="8" t="s">
        <v>1480</v>
      </c>
      <c r="C361" s="8" t="s">
        <v>350</v>
      </c>
      <c r="D361" s="8" t="s">
        <v>1503</v>
      </c>
      <c r="E361" s="9">
        <v>46317.015972222223</v>
      </c>
      <c r="F361" s="8" t="s">
        <v>1504</v>
      </c>
    </row>
    <row r="362" spans="1:6">
      <c r="A362" s="8" t="s">
        <v>1505</v>
      </c>
      <c r="B362" s="8" t="s">
        <v>1480</v>
      </c>
      <c r="C362" s="8" t="s">
        <v>350</v>
      </c>
      <c r="D362" s="8" t="s">
        <v>1506</v>
      </c>
      <c r="E362" s="9">
        <v>46317.017476851855</v>
      </c>
      <c r="F362" s="8" t="s">
        <v>1507</v>
      </c>
    </row>
    <row r="363" spans="1:6" ht="27">
      <c r="A363" s="8" t="s">
        <v>1508</v>
      </c>
      <c r="B363" s="8" t="s">
        <v>1480</v>
      </c>
      <c r="C363" s="8" t="s">
        <v>350</v>
      </c>
      <c r="D363" s="8" t="s">
        <v>1509</v>
      </c>
      <c r="E363" s="9">
        <v>46317.01766203704</v>
      </c>
      <c r="F363" s="8" t="s">
        <v>1557</v>
      </c>
    </row>
    <row r="364" spans="1:6">
      <c r="A364" s="8" t="s">
        <v>1510</v>
      </c>
      <c r="B364" s="8" t="s">
        <v>1480</v>
      </c>
      <c r="C364" s="8" t="s">
        <v>350</v>
      </c>
      <c r="D364" s="8" t="s">
        <v>1511</v>
      </c>
      <c r="E364" s="9">
        <v>46317.023333333331</v>
      </c>
      <c r="F364" s="8" t="s">
        <v>1512</v>
      </c>
    </row>
    <row r="365" spans="1:6">
      <c r="A365" s="8" t="s">
        <v>1513</v>
      </c>
      <c r="B365" s="8" t="s">
        <v>1480</v>
      </c>
      <c r="C365" s="8" t="s">
        <v>350</v>
      </c>
      <c r="D365" s="8" t="s">
        <v>1514</v>
      </c>
      <c r="E365" s="9">
        <v>46317.0234837963</v>
      </c>
      <c r="F365" s="8" t="s">
        <v>1515</v>
      </c>
    </row>
    <row r="366" spans="1:6" ht="27">
      <c r="A366" s="8" t="s">
        <v>1516</v>
      </c>
      <c r="B366" s="8" t="s">
        <v>1480</v>
      </c>
      <c r="C366" s="8" t="s">
        <v>350</v>
      </c>
      <c r="D366" s="8" t="s">
        <v>1517</v>
      </c>
      <c r="E366" s="9">
        <v>46317.023634259262</v>
      </c>
      <c r="F366" s="8" t="s">
        <v>1558</v>
      </c>
    </row>
    <row r="367" spans="1:6">
      <c r="A367" s="8" t="s">
        <v>1518</v>
      </c>
      <c r="B367" s="8" t="s">
        <v>1480</v>
      </c>
      <c r="C367" s="8" t="s">
        <v>350</v>
      </c>
      <c r="D367" s="8" t="s">
        <v>1519</v>
      </c>
      <c r="E367" s="9">
        <v>46317.030150462961</v>
      </c>
      <c r="F367" s="8" t="s">
        <v>1520</v>
      </c>
    </row>
    <row r="368" spans="1:6">
      <c r="A368" s="8" t="s">
        <v>1521</v>
      </c>
      <c r="B368" s="8" t="s">
        <v>1480</v>
      </c>
      <c r="C368" s="8" t="s">
        <v>350</v>
      </c>
      <c r="D368" s="8" t="s">
        <v>1522</v>
      </c>
      <c r="E368" s="9">
        <v>46317.030300925922</v>
      </c>
      <c r="F368" s="8" t="s">
        <v>1523</v>
      </c>
    </row>
    <row r="369" spans="1:6">
      <c r="A369" s="8" t="s">
        <v>1524</v>
      </c>
      <c r="B369" s="8" t="s">
        <v>1480</v>
      </c>
      <c r="C369" s="8" t="s">
        <v>350</v>
      </c>
      <c r="D369" s="8" t="s">
        <v>1525</v>
      </c>
      <c r="E369" s="9">
        <v>46317.030439814815</v>
      </c>
      <c r="F369" s="8" t="s">
        <v>1526</v>
      </c>
    </row>
    <row r="370" spans="1:6">
      <c r="A370" s="8" t="s">
        <v>1527</v>
      </c>
      <c r="B370" s="8" t="s">
        <v>1480</v>
      </c>
      <c r="C370" s="8" t="s">
        <v>350</v>
      </c>
      <c r="D370" s="8" t="s">
        <v>1528</v>
      </c>
      <c r="E370" s="9">
        <v>46317.036932870367</v>
      </c>
      <c r="F370" s="8" t="s">
        <v>1560</v>
      </c>
    </row>
    <row r="371" spans="1:6" ht="27">
      <c r="A371" s="8" t="s">
        <v>1529</v>
      </c>
      <c r="B371" s="8" t="s">
        <v>1480</v>
      </c>
      <c r="C371" s="8" t="s">
        <v>350</v>
      </c>
      <c r="D371" s="8" t="s">
        <v>1530</v>
      </c>
      <c r="E371" s="9">
        <v>46317.03707175926</v>
      </c>
      <c r="F371" s="8" t="s">
        <v>1559</v>
      </c>
    </row>
    <row r="372" spans="1:6">
      <c r="A372" s="8" t="s">
        <v>1531</v>
      </c>
      <c r="B372" s="8" t="s">
        <v>1480</v>
      </c>
      <c r="C372" s="8" t="s">
        <v>350</v>
      </c>
      <c r="D372" s="8" t="s">
        <v>1532</v>
      </c>
      <c r="E372" s="9">
        <v>46317.037199074075</v>
      </c>
      <c r="F372" s="8" t="s">
        <v>1533</v>
      </c>
    </row>
    <row r="373" spans="1:6">
      <c r="A373" s="8" t="s">
        <v>1534</v>
      </c>
      <c r="B373" s="8" t="s">
        <v>1480</v>
      </c>
      <c r="C373" s="8" t="s">
        <v>350</v>
      </c>
      <c r="D373" s="8" t="s">
        <v>1535</v>
      </c>
      <c r="E373" s="9">
        <v>46317.037847222222</v>
      </c>
      <c r="F373" s="8" t="s">
        <v>1536</v>
      </c>
    </row>
    <row r="374" spans="1:6">
      <c r="A374" s="8" t="s">
        <v>1537</v>
      </c>
      <c r="B374" s="8" t="s">
        <v>1480</v>
      </c>
      <c r="C374" s="8" t="s">
        <v>350</v>
      </c>
      <c r="D374" s="8" t="s">
        <v>1538</v>
      </c>
      <c r="E374" s="9">
        <v>46317.038078703707</v>
      </c>
      <c r="F374" s="8" t="s">
        <v>1539</v>
      </c>
    </row>
    <row r="375" spans="1:6">
      <c r="A375" s="8" t="s">
        <v>1540</v>
      </c>
      <c r="B375" s="8" t="s">
        <v>1480</v>
      </c>
      <c r="C375" s="8" t="s">
        <v>350</v>
      </c>
      <c r="D375" s="8" t="s">
        <v>1541</v>
      </c>
      <c r="E375" s="9">
        <v>46317.038391203707</v>
      </c>
      <c r="F375" s="8" t="s">
        <v>1542</v>
      </c>
    </row>
    <row r="376" spans="1:6" ht="27">
      <c r="A376" s="8" t="s">
        <v>1543</v>
      </c>
      <c r="B376" s="8" t="s">
        <v>1480</v>
      </c>
      <c r="C376" s="8" t="s">
        <v>350</v>
      </c>
      <c r="D376" s="8" t="s">
        <v>1544</v>
      </c>
      <c r="E376" s="9">
        <v>46317.038888888892</v>
      </c>
      <c r="F376" s="8" t="s">
        <v>1561</v>
      </c>
    </row>
    <row r="377" spans="1:6">
      <c r="A377" s="8" t="s">
        <v>1545</v>
      </c>
      <c r="B377" s="8" t="s">
        <v>1480</v>
      </c>
      <c r="C377" s="8" t="s">
        <v>350</v>
      </c>
      <c r="D377" s="8" t="s">
        <v>1546</v>
      </c>
      <c r="E377" s="9">
        <v>46317.039039351854</v>
      </c>
      <c r="F377" s="8" t="s">
        <v>1547</v>
      </c>
    </row>
    <row r="378" spans="1:6" ht="40.5">
      <c r="A378" s="8" t="s">
        <v>1548</v>
      </c>
      <c r="B378" s="8" t="s">
        <v>1480</v>
      </c>
      <c r="C378" s="8" t="s">
        <v>350</v>
      </c>
      <c r="D378" s="8" t="s">
        <v>1549</v>
      </c>
      <c r="E378" s="9">
        <v>46317.039166666669</v>
      </c>
      <c r="F378" s="8" t="s">
        <v>1562</v>
      </c>
    </row>
    <row r="379" spans="1:6" ht="40.5">
      <c r="A379" s="8" t="s">
        <v>1550</v>
      </c>
      <c r="B379" s="8" t="s">
        <v>1480</v>
      </c>
      <c r="C379" s="8" t="s">
        <v>145</v>
      </c>
      <c r="D379" s="8" t="s">
        <v>1551</v>
      </c>
      <c r="E379" s="9">
        <v>46317.037326388891</v>
      </c>
      <c r="F379" s="8" t="s">
        <v>1563</v>
      </c>
    </row>
    <row r="380" spans="1:6" ht="27">
      <c r="A380" s="8" t="s">
        <v>1552</v>
      </c>
      <c r="B380" s="8" t="s">
        <v>1480</v>
      </c>
      <c r="C380" s="8" t="s">
        <v>1553</v>
      </c>
      <c r="D380" s="8" t="s">
        <v>1554</v>
      </c>
      <c r="E380" s="9">
        <v>46317.037442129629</v>
      </c>
      <c r="F380" s="8" t="s">
        <v>1564</v>
      </c>
    </row>
    <row r="381" spans="1:6" ht="27">
      <c r="A381" s="8" t="s">
        <v>1481</v>
      </c>
      <c r="B381" s="8" t="s">
        <v>1480</v>
      </c>
      <c r="C381" s="8" t="s">
        <v>415</v>
      </c>
      <c r="D381" s="8" t="s">
        <v>1555</v>
      </c>
      <c r="E381" s="9">
        <v>46317.039525462962</v>
      </c>
      <c r="F381" s="8" t="s">
        <v>1565</v>
      </c>
    </row>
    <row r="382" spans="1:6" ht="27">
      <c r="A382" s="8" t="s">
        <v>1566</v>
      </c>
      <c r="B382" s="8" t="s">
        <v>1482</v>
      </c>
      <c r="C382" s="8" t="s">
        <v>350</v>
      </c>
      <c r="D382" s="8" t="s">
        <v>1567</v>
      </c>
      <c r="E382" s="9">
        <v>46317.043032407404</v>
      </c>
      <c r="F382" s="8" t="s">
        <v>1592</v>
      </c>
    </row>
    <row r="383" spans="1:6">
      <c r="A383" s="8" t="s">
        <v>1568</v>
      </c>
      <c r="B383" s="8" t="s">
        <v>1482</v>
      </c>
      <c r="C383" s="8" t="s">
        <v>350</v>
      </c>
      <c r="D383" s="8" t="s">
        <v>1569</v>
      </c>
      <c r="E383" s="9">
        <v>46317.043530092589</v>
      </c>
      <c r="F383" s="8" t="s">
        <v>1570</v>
      </c>
    </row>
    <row r="384" spans="1:6" ht="27">
      <c r="A384" s="8" t="s">
        <v>1571</v>
      </c>
      <c r="B384" s="8" t="s">
        <v>1482</v>
      </c>
      <c r="C384" s="8" t="s">
        <v>350</v>
      </c>
      <c r="D384" s="8" t="s">
        <v>1572</v>
      </c>
      <c r="E384" s="9">
        <v>46317.043946759259</v>
      </c>
      <c r="F384" s="8" t="s">
        <v>1593</v>
      </c>
    </row>
    <row r="385" spans="1:6" ht="27">
      <c r="A385" s="8" t="s">
        <v>1573</v>
      </c>
      <c r="B385" s="8" t="s">
        <v>1482</v>
      </c>
      <c r="C385" s="8" t="s">
        <v>350</v>
      </c>
      <c r="D385" s="8" t="s">
        <v>1574</v>
      </c>
      <c r="E385" s="9">
        <v>46317.044293981482</v>
      </c>
      <c r="F385" s="8" t="s">
        <v>1594</v>
      </c>
    </row>
    <row r="386" spans="1:6">
      <c r="A386" s="8" t="s">
        <v>1575</v>
      </c>
      <c r="B386" s="8" t="s">
        <v>1482</v>
      </c>
      <c r="C386" s="8" t="s">
        <v>350</v>
      </c>
      <c r="D386" s="8" t="s">
        <v>1576</v>
      </c>
      <c r="E386" s="9">
        <v>46317.044490740744</v>
      </c>
      <c r="F386" s="8" t="s">
        <v>1577</v>
      </c>
    </row>
    <row r="387" spans="1:6">
      <c r="A387" s="8" t="s">
        <v>1578</v>
      </c>
      <c r="B387" s="8" t="s">
        <v>1482</v>
      </c>
      <c r="C387" s="8" t="s">
        <v>350</v>
      </c>
      <c r="D387" s="8" t="s">
        <v>1579</v>
      </c>
      <c r="E387" s="9">
        <v>46317.044768518521</v>
      </c>
      <c r="F387" s="8" t="s">
        <v>1580</v>
      </c>
    </row>
    <row r="388" spans="1:6" ht="27">
      <c r="A388" s="8" t="s">
        <v>1581</v>
      </c>
      <c r="B388" s="8" t="s">
        <v>1482</v>
      </c>
      <c r="C388" s="8" t="s">
        <v>350</v>
      </c>
      <c r="D388" s="8" t="s">
        <v>1582</v>
      </c>
      <c r="E388" s="9">
        <v>46317.045023148145</v>
      </c>
      <c r="F388" s="8" t="s">
        <v>1595</v>
      </c>
    </row>
    <row r="389" spans="1:6" ht="27">
      <c r="A389" s="8" t="s">
        <v>1583</v>
      </c>
      <c r="B389" s="8" t="s">
        <v>1482</v>
      </c>
      <c r="C389" s="8" t="s">
        <v>350</v>
      </c>
      <c r="D389" s="8" t="s">
        <v>1584</v>
      </c>
      <c r="E389" s="9">
        <v>46317.045231481483</v>
      </c>
      <c r="F389" s="8" t="s">
        <v>1596</v>
      </c>
    </row>
    <row r="390" spans="1:6" ht="27">
      <c r="A390" s="8" t="s">
        <v>1585</v>
      </c>
      <c r="B390" s="8" t="s">
        <v>1482</v>
      </c>
      <c r="C390" s="8" t="s">
        <v>350</v>
      </c>
      <c r="D390" s="8" t="s">
        <v>1586</v>
      </c>
      <c r="E390" s="9">
        <v>46317.045393518521</v>
      </c>
      <c r="F390" s="8" t="s">
        <v>1597</v>
      </c>
    </row>
    <row r="391" spans="1:6" ht="27">
      <c r="A391" s="8" t="s">
        <v>1587</v>
      </c>
      <c r="B391" s="8" t="s">
        <v>1482</v>
      </c>
      <c r="C391" s="8" t="s">
        <v>350</v>
      </c>
      <c r="D391" s="8" t="s">
        <v>1588</v>
      </c>
      <c r="E391" s="9">
        <v>46317.047071759262</v>
      </c>
      <c r="F391" s="8" t="s">
        <v>1598</v>
      </c>
    </row>
    <row r="392" spans="1:6" ht="27">
      <c r="A392" s="8" t="s">
        <v>1589</v>
      </c>
      <c r="B392" s="8" t="s">
        <v>1482</v>
      </c>
      <c r="C392" s="8" t="s">
        <v>1553</v>
      </c>
      <c r="D392" s="8" t="s">
        <v>1590</v>
      </c>
      <c r="E392" s="9">
        <v>46317.048611111109</v>
      </c>
      <c r="F392" s="8" t="s">
        <v>1599</v>
      </c>
    </row>
    <row r="393" spans="1:6" ht="54">
      <c r="A393" s="8" t="s">
        <v>1483</v>
      </c>
      <c r="B393" s="8" t="s">
        <v>1482</v>
      </c>
      <c r="C393" s="8" t="s">
        <v>415</v>
      </c>
      <c r="D393" s="8" t="s">
        <v>1591</v>
      </c>
      <c r="E393" s="9">
        <v>46317.0471412037</v>
      </c>
      <c r="F393" s="8" t="s">
        <v>1600</v>
      </c>
    </row>
  </sheetData>
  <phoneticPr fontId="6" type="noConversion"/>
  <dataValidations count="1">
    <dataValidation type="list" sqref="C6:C393" xr:uid="{00000000-0002-0000-0300-000000000000}">
      <formula1>"사진,영상,CSV,로그,설정,도면,기타"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showGridLines="0" workbookViewId="0">
      <pane xSplit="1" ySplit="5" topLeftCell="G6" activePane="bottomRight" state="frozen"/>
      <selection pane="topRight"/>
      <selection pane="bottomLeft"/>
      <selection pane="bottomRight" activeCell="K19" sqref="K19"/>
    </sheetView>
  </sheetViews>
  <sheetFormatPr defaultRowHeight="14.25"/>
  <cols>
    <col min="1" max="1" width="9.375" bestFit="1" customWidth="1"/>
    <col min="2" max="2" width="22.25" bestFit="1" customWidth="1"/>
    <col min="3" max="3" width="40.5" bestFit="1" customWidth="1"/>
    <col min="4" max="4" width="47.75" bestFit="1" customWidth="1"/>
    <col min="5" max="5" width="30" customWidth="1"/>
    <col min="6" max="6" width="73.875" bestFit="1" customWidth="1"/>
    <col min="7" max="7" width="49.125" bestFit="1" customWidth="1"/>
    <col min="8" max="8" width="35" customWidth="1"/>
    <col min="9" max="9" width="4.75" bestFit="1" customWidth="1"/>
    <col min="10" max="10" width="29" customWidth="1"/>
    <col min="11" max="11" width="42.5" bestFit="1" customWidth="1"/>
  </cols>
  <sheetData>
    <row r="1" spans="1:11" ht="28.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8.15" customHeight="1">
      <c r="A2" s="2" t="s">
        <v>195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8.15" customHeight="1">
      <c r="A3" s="3" t="s">
        <v>196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8.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34.15" customHeight="1">
      <c r="A5" s="5" t="s">
        <v>96</v>
      </c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  <c r="G5" s="5" t="s">
        <v>202</v>
      </c>
      <c r="H5" s="5" t="s">
        <v>203</v>
      </c>
      <c r="I5" s="5" t="s">
        <v>204</v>
      </c>
      <c r="J5" s="5" t="s">
        <v>205</v>
      </c>
      <c r="K5" s="5" t="s">
        <v>206</v>
      </c>
    </row>
    <row r="6" spans="1:11" ht="40.5">
      <c r="A6" s="8" t="s">
        <v>554</v>
      </c>
      <c r="B6" s="8" t="s">
        <v>552</v>
      </c>
      <c r="C6" s="8" t="s">
        <v>558</v>
      </c>
      <c r="D6" s="8" t="s">
        <v>559</v>
      </c>
      <c r="E6" s="8" t="s">
        <v>560</v>
      </c>
      <c r="F6" s="8" t="s">
        <v>563</v>
      </c>
      <c r="G6" s="8" t="s">
        <v>561</v>
      </c>
      <c r="H6" s="8"/>
      <c r="I6" s="8" t="s">
        <v>564</v>
      </c>
      <c r="J6" s="8"/>
      <c r="K6" s="8" t="s">
        <v>562</v>
      </c>
    </row>
    <row r="7" spans="1:11" ht="27">
      <c r="A7" s="8" t="s">
        <v>667</v>
      </c>
      <c r="B7" s="8" t="s">
        <v>624</v>
      </c>
      <c r="C7" s="8" t="s">
        <v>668</v>
      </c>
      <c r="D7" s="8" t="s">
        <v>669</v>
      </c>
      <c r="E7" s="8" t="s">
        <v>670</v>
      </c>
      <c r="F7" s="8" t="s">
        <v>681</v>
      </c>
      <c r="G7" s="8" t="s">
        <v>671</v>
      </c>
      <c r="H7" s="8"/>
      <c r="I7" s="8" t="s">
        <v>564</v>
      </c>
      <c r="J7" s="8"/>
      <c r="K7" s="8" t="s">
        <v>672</v>
      </c>
    </row>
    <row r="8" spans="1:11" ht="54">
      <c r="A8" s="8" t="s">
        <v>673</v>
      </c>
      <c r="B8" s="8" t="s">
        <v>624</v>
      </c>
      <c r="C8" s="8" t="s">
        <v>674</v>
      </c>
      <c r="D8" s="8" t="s">
        <v>675</v>
      </c>
      <c r="E8" s="8" t="s">
        <v>676</v>
      </c>
      <c r="F8" s="8" t="s">
        <v>680</v>
      </c>
      <c r="G8" s="8" t="s">
        <v>677</v>
      </c>
      <c r="H8" s="8"/>
      <c r="I8" s="8" t="s">
        <v>679</v>
      </c>
      <c r="J8" s="8"/>
      <c r="K8" s="8" t="s">
        <v>678</v>
      </c>
    </row>
  </sheetData>
  <phoneticPr fontId="6" type="noConversion"/>
  <dataValidations count="1">
    <dataValidation type="list" sqref="I6:I8" xr:uid="{00000000-0002-0000-0400-000000000000}">
      <formula1>"미해결,분석중,수정완료,재시험대기,종료,제외"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1"/>
  <sheetViews>
    <sheetView showGridLines="0" workbookViewId="0">
      <pane xSplit="1" ySplit="5" topLeftCell="B18" activePane="bottomRight" state="frozen"/>
      <selection activeCell="N17" sqref="N17"/>
      <selection pane="topRight" activeCell="N17" sqref="N17"/>
      <selection pane="bottomLeft" activeCell="N17" sqref="N17"/>
      <selection pane="bottomRight" activeCell="J19" sqref="J19"/>
    </sheetView>
  </sheetViews>
  <sheetFormatPr defaultRowHeight="14.25"/>
  <cols>
    <col min="1" max="1" width="6.625" customWidth="1"/>
    <col min="2" max="2" width="20.625" customWidth="1"/>
    <col min="3" max="3" width="11.875" customWidth="1"/>
    <col min="4" max="4" width="20.625" customWidth="1"/>
    <col min="5" max="5" width="50.625" customWidth="1"/>
    <col min="6" max="6" width="20.625" customWidth="1"/>
    <col min="7" max="7" width="100.625" customWidth="1"/>
    <col min="8" max="8" width="11.375" bestFit="1" customWidth="1"/>
    <col min="9" max="9" width="9.75" bestFit="1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20.25">
      <c r="A2" s="2" t="s">
        <v>207</v>
      </c>
      <c r="B2" s="1"/>
      <c r="C2" s="1"/>
      <c r="D2" s="1"/>
      <c r="E2" s="1"/>
      <c r="F2" s="1"/>
      <c r="G2" s="1"/>
      <c r="H2" s="1"/>
      <c r="I2" s="1"/>
    </row>
    <row r="3" spans="1:9">
      <c r="A3" s="3" t="s">
        <v>208</v>
      </c>
      <c r="B3" s="1"/>
      <c r="C3" s="1"/>
      <c r="D3" s="1"/>
      <c r="E3" s="1"/>
      <c r="F3" s="1"/>
      <c r="G3" s="1"/>
      <c r="H3" s="1"/>
      <c r="I3" s="1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 ht="40.5">
      <c r="A5" s="5" t="s">
        <v>209</v>
      </c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  <c r="H5" s="5" t="s">
        <v>216</v>
      </c>
      <c r="I5" s="5" t="s">
        <v>217</v>
      </c>
    </row>
    <row r="6" spans="1:9" ht="219.95" customHeight="1">
      <c r="A6" s="15" t="s">
        <v>1601</v>
      </c>
      <c r="B6" s="7" t="s">
        <v>218</v>
      </c>
      <c r="C6" s="17" t="s">
        <v>1645</v>
      </c>
      <c r="D6" s="8" t="s">
        <v>1623</v>
      </c>
      <c r="E6" s="7" t="s">
        <v>219</v>
      </c>
      <c r="F6" s="7" t="s">
        <v>220</v>
      </c>
      <c r="G6" s="8" t="s">
        <v>1647</v>
      </c>
      <c r="H6" s="8" t="s">
        <v>1648</v>
      </c>
      <c r="I6" s="11">
        <v>46317</v>
      </c>
    </row>
    <row r="7" spans="1:9" ht="219.95" customHeight="1">
      <c r="A7" s="16" t="s">
        <v>1602</v>
      </c>
      <c r="B7" s="6" t="s">
        <v>221</v>
      </c>
      <c r="C7" s="17" t="s">
        <v>1646</v>
      </c>
      <c r="D7" s="8" t="s">
        <v>1624</v>
      </c>
      <c r="E7" s="6" t="s">
        <v>222</v>
      </c>
      <c r="F7" s="6" t="s">
        <v>223</v>
      </c>
      <c r="G7" s="8" t="s">
        <v>1649</v>
      </c>
      <c r="H7" s="8" t="s">
        <v>1648</v>
      </c>
      <c r="I7" s="11">
        <v>46317</v>
      </c>
    </row>
    <row r="8" spans="1:9" ht="219.95" customHeight="1">
      <c r="A8" s="15" t="s">
        <v>1603</v>
      </c>
      <c r="B8" s="7" t="s">
        <v>224</v>
      </c>
      <c r="C8" s="17" t="s">
        <v>1603</v>
      </c>
      <c r="D8" s="8" t="s">
        <v>1625</v>
      </c>
      <c r="E8" s="7" t="s">
        <v>225</v>
      </c>
      <c r="F8" s="7" t="s">
        <v>226</v>
      </c>
      <c r="G8" s="8" t="s">
        <v>1650</v>
      </c>
      <c r="H8" s="8" t="s">
        <v>1648</v>
      </c>
      <c r="I8" s="11">
        <v>46317</v>
      </c>
    </row>
    <row r="9" spans="1:9" ht="219.95" customHeight="1">
      <c r="A9" s="16" t="s">
        <v>1604</v>
      </c>
      <c r="B9" s="6" t="s">
        <v>227</v>
      </c>
      <c r="C9" s="17" t="s">
        <v>1604</v>
      </c>
      <c r="D9" s="8" t="s">
        <v>1626</v>
      </c>
      <c r="E9" s="6" t="s">
        <v>228</v>
      </c>
      <c r="F9" s="6" t="s">
        <v>229</v>
      </c>
      <c r="G9" s="8" t="s">
        <v>1651</v>
      </c>
      <c r="H9" s="8" t="s">
        <v>1648</v>
      </c>
      <c r="I9" s="11">
        <v>46317</v>
      </c>
    </row>
    <row r="10" spans="1:9" ht="219.95" customHeight="1">
      <c r="A10" s="15" t="s">
        <v>1605</v>
      </c>
      <c r="B10" s="7" t="s">
        <v>230</v>
      </c>
      <c r="C10" s="17" t="s">
        <v>1605</v>
      </c>
      <c r="D10" s="8" t="s">
        <v>1627</v>
      </c>
      <c r="E10" s="7" t="s">
        <v>231</v>
      </c>
      <c r="F10" s="7" t="s">
        <v>232</v>
      </c>
      <c r="G10" s="8" t="s">
        <v>1652</v>
      </c>
      <c r="H10" s="8" t="s">
        <v>1648</v>
      </c>
      <c r="I10" s="11">
        <v>46317</v>
      </c>
    </row>
    <row r="11" spans="1:9" ht="219.95" customHeight="1">
      <c r="A11" s="16" t="s">
        <v>1606</v>
      </c>
      <c r="B11" s="6" t="s">
        <v>233</v>
      </c>
      <c r="C11" s="17" t="s">
        <v>1606</v>
      </c>
      <c r="D11" s="8" t="s">
        <v>1628</v>
      </c>
      <c r="E11" s="6" t="s">
        <v>234</v>
      </c>
      <c r="F11" s="6" t="s">
        <v>235</v>
      </c>
      <c r="G11" s="8" t="s">
        <v>1653</v>
      </c>
      <c r="H11" s="8" t="s">
        <v>1648</v>
      </c>
      <c r="I11" s="11">
        <v>46317</v>
      </c>
    </row>
    <row r="12" spans="1:9" ht="219.95" customHeight="1">
      <c r="A12" s="15" t="s">
        <v>1607</v>
      </c>
      <c r="B12" s="7" t="s">
        <v>236</v>
      </c>
      <c r="C12" s="17" t="s">
        <v>1607</v>
      </c>
      <c r="D12" s="8" t="s">
        <v>1629</v>
      </c>
      <c r="E12" s="7" t="s">
        <v>237</v>
      </c>
      <c r="F12" s="7" t="s">
        <v>238</v>
      </c>
      <c r="G12" s="8" t="s">
        <v>1654</v>
      </c>
      <c r="H12" s="8" t="s">
        <v>1648</v>
      </c>
      <c r="I12" s="11">
        <v>46317</v>
      </c>
    </row>
    <row r="13" spans="1:9" ht="219.95" customHeight="1">
      <c r="A13" s="16" t="s">
        <v>1608</v>
      </c>
      <c r="B13" s="6" t="s">
        <v>239</v>
      </c>
      <c r="C13" s="17" t="s">
        <v>1608</v>
      </c>
      <c r="D13" s="8" t="s">
        <v>1630</v>
      </c>
      <c r="E13" s="6" t="s">
        <v>240</v>
      </c>
      <c r="F13" s="6" t="s">
        <v>241</v>
      </c>
      <c r="G13" s="8" t="s">
        <v>1655</v>
      </c>
      <c r="H13" s="8" t="s">
        <v>1648</v>
      </c>
      <c r="I13" s="11">
        <v>46317</v>
      </c>
    </row>
    <row r="14" spans="1:9" ht="219.95" customHeight="1">
      <c r="A14" s="15" t="s">
        <v>1609</v>
      </c>
      <c r="B14" s="7" t="s">
        <v>242</v>
      </c>
      <c r="C14" s="17" t="s">
        <v>1609</v>
      </c>
      <c r="D14" s="8" t="s">
        <v>1631</v>
      </c>
      <c r="E14" s="7" t="s">
        <v>243</v>
      </c>
      <c r="F14" s="7" t="s">
        <v>1656</v>
      </c>
      <c r="G14" s="8" t="s">
        <v>1657</v>
      </c>
      <c r="H14" s="8" t="s">
        <v>1648</v>
      </c>
      <c r="I14" s="11">
        <v>46317</v>
      </c>
    </row>
    <row r="15" spans="1:9" ht="219.95" customHeight="1">
      <c r="A15" s="16" t="s">
        <v>1610</v>
      </c>
      <c r="B15" s="6" t="s">
        <v>244</v>
      </c>
      <c r="C15" s="17" t="s">
        <v>1610</v>
      </c>
      <c r="D15" s="8" t="s">
        <v>1632</v>
      </c>
      <c r="E15" s="6" t="s">
        <v>245</v>
      </c>
      <c r="F15" s="6" t="s">
        <v>246</v>
      </c>
      <c r="G15" s="8" t="s">
        <v>1658</v>
      </c>
      <c r="H15" s="8" t="s">
        <v>1648</v>
      </c>
      <c r="I15" s="11">
        <v>46317</v>
      </c>
    </row>
    <row r="16" spans="1:9" ht="219.95" customHeight="1">
      <c r="A16" s="15" t="s">
        <v>1611</v>
      </c>
      <c r="B16" s="7" t="s">
        <v>247</v>
      </c>
      <c r="C16" s="17" t="s">
        <v>1611</v>
      </c>
      <c r="D16" s="8" t="s">
        <v>1633</v>
      </c>
      <c r="E16" s="7" t="s">
        <v>248</v>
      </c>
      <c r="F16" s="7" t="s">
        <v>249</v>
      </c>
      <c r="G16" s="8" t="s">
        <v>1659</v>
      </c>
      <c r="H16" s="8" t="s">
        <v>1648</v>
      </c>
      <c r="I16" s="11">
        <v>46317</v>
      </c>
    </row>
    <row r="17" spans="1:9" ht="219.95" customHeight="1">
      <c r="A17" s="16" t="s">
        <v>1612</v>
      </c>
      <c r="B17" s="6" t="s">
        <v>250</v>
      </c>
      <c r="C17" s="17" t="s">
        <v>1612</v>
      </c>
      <c r="D17" s="8" t="s">
        <v>1634</v>
      </c>
      <c r="E17" s="6" t="s">
        <v>251</v>
      </c>
      <c r="F17" s="6" t="s">
        <v>252</v>
      </c>
      <c r="G17" s="8" t="s">
        <v>1660</v>
      </c>
      <c r="H17" s="8" t="s">
        <v>1648</v>
      </c>
      <c r="I17" s="11">
        <v>46317</v>
      </c>
    </row>
    <row r="18" spans="1:9" ht="219.95" customHeight="1">
      <c r="A18" s="15" t="s">
        <v>1613</v>
      </c>
      <c r="B18" s="7" t="s">
        <v>253</v>
      </c>
      <c r="C18" s="17" t="s">
        <v>1613</v>
      </c>
      <c r="D18" s="8" t="s">
        <v>1635</v>
      </c>
      <c r="E18" s="7" t="s">
        <v>254</v>
      </c>
      <c r="F18" s="7" t="s">
        <v>255</v>
      </c>
      <c r="G18" s="8" t="s">
        <v>1661</v>
      </c>
      <c r="H18" s="8" t="s">
        <v>1648</v>
      </c>
      <c r="I18" s="11">
        <v>46317</v>
      </c>
    </row>
    <row r="19" spans="1:9" ht="219.95" customHeight="1">
      <c r="A19" s="16" t="s">
        <v>1614</v>
      </c>
      <c r="B19" s="6" t="s">
        <v>256</v>
      </c>
      <c r="C19" s="17" t="s">
        <v>1614</v>
      </c>
      <c r="D19" s="8" t="s">
        <v>1636</v>
      </c>
      <c r="E19" s="6" t="s">
        <v>257</v>
      </c>
      <c r="F19" s="6" t="s">
        <v>258</v>
      </c>
      <c r="G19" s="8" t="s">
        <v>1662</v>
      </c>
      <c r="H19" s="8" t="s">
        <v>1648</v>
      </c>
      <c r="I19" s="11">
        <v>46317</v>
      </c>
    </row>
    <row r="20" spans="1:9" ht="219.95" customHeight="1">
      <c r="A20" s="15" t="s">
        <v>1615</v>
      </c>
      <c r="B20" s="7" t="s">
        <v>259</v>
      </c>
      <c r="C20" s="17" t="s">
        <v>1615</v>
      </c>
      <c r="D20" s="8" t="s">
        <v>1637</v>
      </c>
      <c r="E20" s="7" t="s">
        <v>260</v>
      </c>
      <c r="F20" s="7" t="s">
        <v>261</v>
      </c>
      <c r="G20" s="8" t="s">
        <v>1663</v>
      </c>
      <c r="H20" s="8" t="s">
        <v>1648</v>
      </c>
      <c r="I20" s="11">
        <v>46317</v>
      </c>
    </row>
    <row r="21" spans="1:9" ht="219.95" customHeight="1">
      <c r="A21" s="16" t="s">
        <v>1616</v>
      </c>
      <c r="B21" s="6" t="s">
        <v>262</v>
      </c>
      <c r="C21" s="17" t="s">
        <v>1616</v>
      </c>
      <c r="D21" s="8" t="s">
        <v>1638</v>
      </c>
      <c r="E21" s="6" t="s">
        <v>263</v>
      </c>
      <c r="F21" s="6" t="s">
        <v>264</v>
      </c>
      <c r="G21" s="8" t="s">
        <v>1664</v>
      </c>
      <c r="H21" s="8" t="s">
        <v>1648</v>
      </c>
      <c r="I21" s="11">
        <v>46317</v>
      </c>
    </row>
    <row r="22" spans="1:9" ht="219.95" customHeight="1">
      <c r="A22" s="15" t="s">
        <v>1617</v>
      </c>
      <c r="B22" s="7" t="s">
        <v>265</v>
      </c>
      <c r="C22" s="17" t="s">
        <v>1617</v>
      </c>
      <c r="D22" s="8" t="s">
        <v>1639</v>
      </c>
      <c r="E22" s="7" t="s">
        <v>266</v>
      </c>
      <c r="F22" s="7" t="s">
        <v>1665</v>
      </c>
      <c r="G22" s="8" t="s">
        <v>1673</v>
      </c>
      <c r="H22" s="8" t="s">
        <v>1648</v>
      </c>
      <c r="I22" s="11">
        <v>46317</v>
      </c>
    </row>
    <row r="23" spans="1:9" ht="219.95" customHeight="1">
      <c r="A23" s="16" t="s">
        <v>1618</v>
      </c>
      <c r="B23" s="6" t="s">
        <v>267</v>
      </c>
      <c r="C23" s="17" t="s">
        <v>1618</v>
      </c>
      <c r="D23" s="8" t="s">
        <v>1640</v>
      </c>
      <c r="E23" s="6" t="s">
        <v>268</v>
      </c>
      <c r="F23" s="6" t="s">
        <v>1666</v>
      </c>
      <c r="G23" s="8" t="s">
        <v>1667</v>
      </c>
      <c r="H23" s="8" t="s">
        <v>1668</v>
      </c>
      <c r="I23" s="11">
        <v>46317</v>
      </c>
    </row>
    <row r="24" spans="1:9" ht="219.95" customHeight="1">
      <c r="A24" s="15" t="s">
        <v>1619</v>
      </c>
      <c r="B24" s="7" t="s">
        <v>269</v>
      </c>
      <c r="C24" s="17" t="s">
        <v>1619</v>
      </c>
      <c r="D24" s="8" t="s">
        <v>1641</v>
      </c>
      <c r="E24" s="7" t="s">
        <v>270</v>
      </c>
      <c r="F24" s="7" t="s">
        <v>1666</v>
      </c>
      <c r="G24" s="8" t="s">
        <v>1669</v>
      </c>
      <c r="H24" s="8" t="s">
        <v>1668</v>
      </c>
      <c r="I24" s="11">
        <v>46317</v>
      </c>
    </row>
    <row r="25" spans="1:9" ht="219.95" customHeight="1">
      <c r="A25" s="16" t="s">
        <v>1620</v>
      </c>
      <c r="B25" s="6" t="s">
        <v>271</v>
      </c>
      <c r="C25" s="17" t="s">
        <v>1620</v>
      </c>
      <c r="D25" s="8" t="s">
        <v>1642</v>
      </c>
      <c r="E25" s="6" t="s">
        <v>272</v>
      </c>
      <c r="F25" s="6" t="s">
        <v>1666</v>
      </c>
      <c r="G25" s="8" t="s">
        <v>1670</v>
      </c>
      <c r="H25" s="8" t="s">
        <v>1668</v>
      </c>
      <c r="I25" s="11">
        <v>46317</v>
      </c>
    </row>
    <row r="26" spans="1:9" ht="219.95" customHeight="1">
      <c r="A26" s="15" t="s">
        <v>1621</v>
      </c>
      <c r="B26" s="7" t="s">
        <v>273</v>
      </c>
      <c r="C26" s="17" t="s">
        <v>1621</v>
      </c>
      <c r="D26" s="8" t="s">
        <v>1643</v>
      </c>
      <c r="E26" s="7" t="s">
        <v>274</v>
      </c>
      <c r="F26" s="7" t="s">
        <v>1666</v>
      </c>
      <c r="G26" s="8" t="s">
        <v>1671</v>
      </c>
      <c r="H26" s="8" t="s">
        <v>1668</v>
      </c>
      <c r="I26" s="11">
        <v>46317</v>
      </c>
    </row>
    <row r="27" spans="1:9" ht="219.95" customHeight="1">
      <c r="A27" s="16" t="s">
        <v>1622</v>
      </c>
      <c r="B27" s="6" t="s">
        <v>275</v>
      </c>
      <c r="C27" s="17" t="s">
        <v>1622</v>
      </c>
      <c r="D27" s="8" t="s">
        <v>1644</v>
      </c>
      <c r="E27" s="6" t="s">
        <v>276</v>
      </c>
      <c r="F27" s="6" t="s">
        <v>1666</v>
      </c>
      <c r="G27" s="8" t="s">
        <v>1672</v>
      </c>
      <c r="H27" s="8" t="s">
        <v>1668</v>
      </c>
      <c r="I27" s="11">
        <v>46317</v>
      </c>
    </row>
    <row r="28" spans="1:9" ht="80.099999999999994" customHeight="1"/>
    <row r="29" spans="1:9" ht="80.099999999999994" customHeight="1"/>
    <row r="30" spans="1:9" ht="80.099999999999994" customHeight="1"/>
    <row r="31" spans="1:9" ht="80.099999999999994" customHeight="1"/>
  </sheetData>
  <phoneticPr fontId="6" type="noConversion"/>
  <dataValidations count="1">
    <dataValidation type="list" sqref="H6:H27" xr:uid="{00000000-0002-0000-0500-000000000000}">
      <formula1>"미검토,수정중,대조완료,개념검토완료"</formula1>
    </dataValidation>
  </dataValidations>
  <pageMargins left="0.23622047244094491" right="0.23622047244094491" top="0.39370078740157483" bottom="0.39370078740157483" header="0.19685039370078741" footer="0.19685039370078741"/>
  <pageSetup paperSize="8" scale="74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완료확인</vt:lpstr>
      <vt:lpstr>실행기록</vt:lpstr>
      <vt:lpstr>기준설정</vt:lpstr>
      <vt:lpstr>증거목록</vt:lpstr>
      <vt:lpstr>문제재시험</vt:lpstr>
      <vt:lpstr>도면마감</vt:lpstr>
      <vt:lpstr>기준설정!Print_Area</vt:lpstr>
      <vt:lpstr>도면마감!Print_Area</vt:lpstr>
      <vt:lpstr>실행기록!Print_Area</vt:lpstr>
      <vt:lpstr>완료확인!Print_Area</vt:lpstr>
      <vt:lpstr>기준설정!Print_Titles</vt:lpstr>
      <vt:lpstr>도면마감!Print_Titles</vt:lpstr>
      <vt:lpstr>실행기록!Print_Titles</vt:lpstr>
      <vt:lpstr>완료확인!Print_Titles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cp:lastPrinted>2026-10-22T08:01:09Z</cp:lastPrinted>
  <dcterms:modified xsi:type="dcterms:W3CDTF">2026-10-22T08:01:17Z</dcterms:modified>
</cp:coreProperties>
</file>